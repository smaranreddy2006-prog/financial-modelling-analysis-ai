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 Income Statement" sheetId="1" r:id="rId1"/>
    <sheet name="Raw Balance Sheet" sheetId="2" r:id="rId2"/>
    <sheet name="Cash Flow Statement" sheetId="3" r:id="rId3"/>
    <sheet name="Ratio Analysis" sheetId="4" r:id="rId4"/>
    <sheet name="Assumptions &amp; Drivers" sheetId="5" r:id="rId5"/>
    <sheet name="CapEx &amp; Depreciation" sheetId="6" r:id="rId6"/>
    <sheet name="OpEx &amp; R&amp;D Budget" sheetId="7" r:id="rId7"/>
    <sheet name="Valuation &amp; Returns" sheetId="8" r:id="rId8"/>
    <sheet name="Sensitivity Analysis" sheetId="9" r:id="rId9"/>
    <sheet name="Summary Dashboard" sheetId="10" r:id="rId10"/>
  </sheets>
  <calcPr calcId="124519" fullCalcOnLoad="1"/>
</workbook>
</file>

<file path=xl/sharedStrings.xml><?xml version="1.0" encoding="utf-8"?>
<sst xmlns="http://schemas.openxmlformats.org/spreadsheetml/2006/main" count="462" uniqueCount="268">
  <si>
    <t>Tax Effect Of Unusual Items</t>
  </si>
  <si>
    <t>Tax Rate For Calcs</t>
  </si>
  <si>
    <t>Normalized EBITDA</t>
  </si>
  <si>
    <t>Total Unusual Items</t>
  </si>
  <si>
    <t>Total Unusual Items Excluding Goodwill</t>
  </si>
  <si>
    <t>Net Income From Continuing Operation Net Minority Interest</t>
  </si>
  <si>
    <t>Reconciled Depreciation</t>
  </si>
  <si>
    <t>Reconciled Cost Of Revenue</t>
  </si>
  <si>
    <t>EBITDA</t>
  </si>
  <si>
    <t>EBIT</t>
  </si>
  <si>
    <t>Net Interest Income</t>
  </si>
  <si>
    <t>Interest Expense</t>
  </si>
  <si>
    <t>Interest Income</t>
  </si>
  <si>
    <t>Normalized Income</t>
  </si>
  <si>
    <t>Net Income From Continuing And Discontinued Operation</t>
  </si>
  <si>
    <t>Total Expenses</t>
  </si>
  <si>
    <t>Rent Expense Supplemental</t>
  </si>
  <si>
    <t>Diluted Average Shares</t>
  </si>
  <si>
    <t>Basic Average Shares</t>
  </si>
  <si>
    <t>Diluted EPS</t>
  </si>
  <si>
    <t>Basic EPS</t>
  </si>
  <si>
    <t>Diluted NI Availto Com Stockholders</t>
  </si>
  <si>
    <t>Net Income Common Stockholders</t>
  </si>
  <si>
    <t>Otherunder Preferred Stock Dividend</t>
  </si>
  <si>
    <t>Net Income</t>
  </si>
  <si>
    <t>Minority Interests</t>
  </si>
  <si>
    <t>Net Income Including Noncontrolling Interests</t>
  </si>
  <si>
    <t>Net Income Discontinuous Operations</t>
  </si>
  <si>
    <t>Net Income Continuous Operations</t>
  </si>
  <si>
    <t>Tax Provision</t>
  </si>
  <si>
    <t>Pretax Income</t>
  </si>
  <si>
    <t>Other Non Operating Income Expenses</t>
  </si>
  <si>
    <t>Special Income Charges</t>
  </si>
  <si>
    <t>Other Special Charges</t>
  </si>
  <si>
    <t>Write Off</t>
  </si>
  <si>
    <t>Net Non Operating Interest Income Expense</t>
  </si>
  <si>
    <t>Total Other Finance Cost</t>
  </si>
  <si>
    <t>Interest Expense Non Operating</t>
  </si>
  <si>
    <t>Interest Income Non Operating</t>
  </si>
  <si>
    <t>Operating Income</t>
  </si>
  <si>
    <t>Operating Expense</t>
  </si>
  <si>
    <t>Other Operating Expenses</t>
  </si>
  <si>
    <t>Selling General And Administration</t>
  </si>
  <si>
    <t>Selling And Marketing Expense</t>
  </si>
  <si>
    <t>General And Administrative Expense</t>
  </si>
  <si>
    <t>Rent And Landing Fees</t>
  </si>
  <si>
    <t>Gross Profit</t>
  </si>
  <si>
    <t>Cost Of Revenue</t>
  </si>
  <si>
    <t>Total Revenue</t>
  </si>
  <si>
    <t>Operating Revenue</t>
  </si>
  <si>
    <t>2021-03-31T00:00:00</t>
  </si>
  <si>
    <t>2022-03-31T00:00:00</t>
  </si>
  <si>
    <t>2023-03-31T00:00:00</t>
  </si>
  <si>
    <t>2024-03-31T00:00:00</t>
  </si>
  <si>
    <t>2025-03-31T00:00:00</t>
  </si>
  <si>
    <t>Ordinary Shares Number</t>
  </si>
  <si>
    <t>Share Issued</t>
  </si>
  <si>
    <t>Net Debt</t>
  </si>
  <si>
    <t>Total Debt</t>
  </si>
  <si>
    <t>Tangible Book Value</t>
  </si>
  <si>
    <t>Invested Capital</t>
  </si>
  <si>
    <t>Working Capital</t>
  </si>
  <si>
    <t>Net Tangible Assets</t>
  </si>
  <si>
    <t>Capital Lease Obligations</t>
  </si>
  <si>
    <t>Common Stock Equity</t>
  </si>
  <si>
    <t>Total Capitalization</t>
  </si>
  <si>
    <t>Total Equity Gross Minority Interest</t>
  </si>
  <si>
    <t>Minority Interest</t>
  </si>
  <si>
    <t>Stockholders Equity</t>
  </si>
  <si>
    <t>Other Equity Interest</t>
  </si>
  <si>
    <t>Retained Earnings</t>
  </si>
  <si>
    <t>Additional Paid In Capital</t>
  </si>
  <si>
    <t>Capital Stock</t>
  </si>
  <si>
    <t>Common Stock</t>
  </si>
  <si>
    <t>Total Liabilities Net Minority Interest</t>
  </si>
  <si>
    <t>Total Non Current Liabilities Net Minority Interest</t>
  </si>
  <si>
    <t>Other Non Current Liabilities</t>
  </si>
  <si>
    <t>Tradeand Other Payables Non Current</t>
  </si>
  <si>
    <t>Non Current Deferred Taxes Liabilities</t>
  </si>
  <si>
    <t>Long Term Debt And Capital Lease Obligation</t>
  </si>
  <si>
    <t>Long Term Capital Lease Obligation</t>
  </si>
  <si>
    <t>Long Term Debt</t>
  </si>
  <si>
    <t>Long Term Provisions</t>
  </si>
  <si>
    <t>Current Liabilities</t>
  </si>
  <si>
    <t>Other Current Liabilities</t>
  </si>
  <si>
    <t>Current Debt And Capital Lease Obligation</t>
  </si>
  <si>
    <t>Current Capital Lease Obligation</t>
  </si>
  <si>
    <t>Current Debt</t>
  </si>
  <si>
    <t>Current Provisions</t>
  </si>
  <si>
    <t>Payables</t>
  </si>
  <si>
    <t>Other Payable</t>
  </si>
  <si>
    <t>Dividends Payable</t>
  </si>
  <si>
    <t>Accounts Payable</t>
  </si>
  <si>
    <t>Total Assets</t>
  </si>
  <si>
    <t>Total Non Current Assets</t>
  </si>
  <si>
    <t>Other Non Current Assets</t>
  </si>
  <si>
    <t>Non Current Prepaid Assets</t>
  </si>
  <si>
    <t>Non Current Deferred Taxes Assets</t>
  </si>
  <si>
    <t>Investmentin Financial Assets</t>
  </si>
  <si>
    <t>Available For Sale Securities</t>
  </si>
  <si>
    <t>Financial Assets Designatedas Fair Value Through Profitor Loss Total</t>
  </si>
  <si>
    <t>Long Term Equity Investment</t>
  </si>
  <si>
    <t>Investmentsin Joint Venturesat Cost</t>
  </si>
  <si>
    <t>Investmentsin Associatesat Cost</t>
  </si>
  <si>
    <t>Goodwill And Other Intangible Assets</t>
  </si>
  <si>
    <t>Other Intangible Assets</t>
  </si>
  <si>
    <t>Goodwill</t>
  </si>
  <si>
    <t>Net PPE</t>
  </si>
  <si>
    <t>Accumulated Depreciation</t>
  </si>
  <si>
    <t>Gross PPE</t>
  </si>
  <si>
    <t>Construction In Progress</t>
  </si>
  <si>
    <t>Other Properties</t>
  </si>
  <si>
    <t>Machinery Furniture Equipment</t>
  </si>
  <si>
    <t>Buildings And Improvements</t>
  </si>
  <si>
    <t>Land And Improvements</t>
  </si>
  <si>
    <t>Properties</t>
  </si>
  <si>
    <t>Current Assets</t>
  </si>
  <si>
    <t>Other Current Assets</t>
  </si>
  <si>
    <t>Restricted Cash</t>
  </si>
  <si>
    <t>Prepaid Assets</t>
  </si>
  <si>
    <t>Inventory</t>
  </si>
  <si>
    <t>Other Inventories</t>
  </si>
  <si>
    <t>Finished Goods</t>
  </si>
  <si>
    <t>Work In Process</t>
  </si>
  <si>
    <t>Raw Materials</t>
  </si>
  <si>
    <t>Other Receivables</t>
  </si>
  <si>
    <t>Accounts Receivable</t>
  </si>
  <si>
    <t>Cash Cash Equivalents And Short Term Investments</t>
  </si>
  <si>
    <t>Other Short Term Investments</t>
  </si>
  <si>
    <t>Cash And Cash Equivalents</t>
  </si>
  <si>
    <t>Cash Equivalents</t>
  </si>
  <si>
    <t>Cash Financial</t>
  </si>
  <si>
    <t>Free Cash Flow</t>
  </si>
  <si>
    <t>Repayment Of Debt</t>
  </si>
  <si>
    <t>Issuance Of Debt</t>
  </si>
  <si>
    <t>Issuance Of Capital Stock</t>
  </si>
  <si>
    <t>Capital Expenditure</t>
  </si>
  <si>
    <t>End Cash Position</t>
  </si>
  <si>
    <t>Other Cash Adjustment Outside Changein Cash</t>
  </si>
  <si>
    <t>Beginning Cash Position</t>
  </si>
  <si>
    <t>Changes In Cash</t>
  </si>
  <si>
    <t>Financing Cash Flow</t>
  </si>
  <si>
    <t>Net Other Financing Charges</t>
  </si>
  <si>
    <t>Interest Paid Cff</t>
  </si>
  <si>
    <t>Cash Dividends Paid</t>
  </si>
  <si>
    <t>Net Common Stock Issuance</t>
  </si>
  <si>
    <t>Common Stock Issuance</t>
  </si>
  <si>
    <t>Net Issuance Payments Of Debt</t>
  </si>
  <si>
    <t>Net Short Term Debt Issuance</t>
  </si>
  <si>
    <t>Net Long Term Debt Issuance</t>
  </si>
  <si>
    <t>Long Term Debt Payments</t>
  </si>
  <si>
    <t>Long Term Debt Issuance</t>
  </si>
  <si>
    <t>Investing Cash Flow</t>
  </si>
  <si>
    <t>Net Other Investing Changes</t>
  </si>
  <si>
    <t>Interest Received Cfi</t>
  </si>
  <si>
    <t>Dividends Received Cfi</t>
  </si>
  <si>
    <t>Net Investment Purchase And Sale</t>
  </si>
  <si>
    <t>Sale Of Investment</t>
  </si>
  <si>
    <t>Purchase Of Investment</t>
  </si>
  <si>
    <t>Net PPE Purchase And Sale</t>
  </si>
  <si>
    <t>Sale Of PPE</t>
  </si>
  <si>
    <t>Purchase Of PPE</t>
  </si>
  <si>
    <t>Capital Expenditure Reported</t>
  </si>
  <si>
    <t>Operating Cash Flow</t>
  </si>
  <si>
    <t>Taxes Refund Paid</t>
  </si>
  <si>
    <t>Change In Working Capital</t>
  </si>
  <si>
    <t>Change In Payable</t>
  </si>
  <si>
    <t>Change In Inventory</t>
  </si>
  <si>
    <t>Change In Receivables</t>
  </si>
  <si>
    <t>Other Non Cash Items</t>
  </si>
  <si>
    <t>Provisionand Write Offof Assets</t>
  </si>
  <si>
    <t>Deferred Tax</t>
  </si>
  <si>
    <t>Depreciation And Amortization</t>
  </si>
  <si>
    <t>Depreciation</t>
  </si>
  <si>
    <t>Gain Loss On Investment Securities</t>
  </si>
  <si>
    <t>Net Foreign Currency Exchange Gain Loss</t>
  </si>
  <si>
    <t>Gain Loss On Sale Of PPE</t>
  </si>
  <si>
    <t>Gain Loss On Sale Of Business</t>
  </si>
  <si>
    <t>Net Income From Continuing Operations</t>
  </si>
  <si>
    <t>Gross Profit Margin (%)</t>
  </si>
  <si>
    <t>EBITDA Margin (%)</t>
  </si>
  <si>
    <t>EBIT Margin (%)</t>
  </si>
  <si>
    <t>Net Profit Margin (%)</t>
  </si>
  <si>
    <t>Interest Coverage Ratio</t>
  </si>
  <si>
    <t>Cash Conversion Ratio</t>
  </si>
  <si>
    <t>Asset Turnover</t>
  </si>
  <si>
    <t>Asset to Equity</t>
  </si>
  <si>
    <t>Return on Equity (ROE) (%)</t>
  </si>
  <si>
    <t>Debt to Equity</t>
  </si>
  <si>
    <t>Return on Assets (ROA) (%)</t>
  </si>
  <si>
    <t>Current Ratio</t>
  </si>
  <si>
    <t>Quick Ratio</t>
  </si>
  <si>
    <t>Debt to Capital</t>
  </si>
  <si>
    <t>Inventory Days</t>
  </si>
  <si>
    <t>Receivable Days</t>
  </si>
  <si>
    <t>Payable Days</t>
  </si>
  <si>
    <t>Cash to Debt</t>
  </si>
  <si>
    <t>Revenue Growth (%)</t>
  </si>
  <si>
    <t>Debt to Assets</t>
  </si>
  <si>
    <t>% of Debt Change</t>
  </si>
  <si>
    <t>FCFF</t>
  </si>
  <si>
    <t>Operating CF Ratio</t>
  </si>
  <si>
    <t>FCF to Net Profit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</si>
  <si>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</si>
  <si>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</si>
  <si>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</si>
  <si>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</si>
  <si>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</si>
  <si>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</si>
  <si>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</si>
  <si>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</si>
  <si>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</si>
  <si>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</si>
  <si>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</si>
  <si>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</si>
  <si>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</si>
  <si>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</si>
  <si>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</si>
  <si>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</si>
  <si>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</si>
  <si>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</si>
  <si>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</si>
  <si>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</si>
  <si>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Month 21</t>
  </si>
  <si>
    <t>Month 22</t>
  </si>
  <si>
    <t>Month 23</t>
  </si>
  <si>
    <t>Month 24</t>
  </si>
  <si>
    <t>TAM (Total Addressable Market)</t>
  </si>
  <si>
    <t>SAM (Serviceable Available Market)</t>
  </si>
  <si>
    <t>SOM (Serviceable Obtainable Market)</t>
  </si>
  <si>
    <t>Target Unit Price</t>
  </si>
  <si>
    <t>New Customers/Month</t>
  </si>
  <si>
    <t>Infrastructure (Labs)</t>
  </si>
  <si>
    <t>Machinery &amp; Eqpt</t>
  </si>
  <si>
    <t>Total CapEx</t>
  </si>
  <si>
    <t>Depreciation Expense</t>
  </si>
  <si>
    <t>Personnel (Sci/Eng)</t>
  </si>
  <si>
    <t>Prototyping &amp; Materials</t>
  </si>
  <si>
    <t>Testing &amp; Energy</t>
  </si>
  <si>
    <t>COGS (BOM+Labor)</t>
  </si>
  <si>
    <t>SG&amp;A (Legal/Marketing)</t>
  </si>
  <si>
    <t>Total OpEx</t>
  </si>
  <si>
    <t>Revenue</t>
  </si>
  <si>
    <t>Op Cash Flow</t>
  </si>
  <si>
    <t>Ending Cash Balance</t>
  </si>
  <si>
    <t>Monthly Burn Rate</t>
  </si>
  <si>
    <t>Runway (Months)</t>
  </si>
  <si>
    <t>Discounted FCF</t>
  </si>
  <si>
    <t>Best Case</t>
  </si>
  <si>
    <t>Base Case</t>
  </si>
  <si>
    <t>Worst Case</t>
  </si>
  <si>
    <t>Cumulative 24M FCF</t>
  </si>
  <si>
    <t>NPV (15% WACC)</t>
  </si>
  <si>
    <t>IRR (Estimate)</t>
  </si>
  <si>
    <t>N/A</t>
  </si>
  <si>
    <t>RELIANCE.NS Financial Summary Dashboard</t>
  </si>
  <si>
    <t>Key Metric</t>
  </si>
  <si>
    <t>Value</t>
  </si>
  <si>
    <t>5-Year Revenue CAGR</t>
  </si>
  <si>
    <t>0.00%</t>
  </si>
  <si>
    <t>Average ROE</t>
  </si>
  <si>
    <t>6.83%</t>
  </si>
  <si>
    <t>Average EBITDA Margin</t>
  </si>
  <si>
    <t>14.81%</t>
  </si>
  <si>
    <t>Latest Debt/Equity</t>
  </si>
  <si>
    <t>0.44x</t>
  </si>
  <si>
    <t>AI Intelligence Summary</t>
  </si>
  <si>
    <t>Auto-generated financial model by FinModel AI.</t>
  </si>
</sst>
</file>

<file path=xl/styles.xml><?xml version="1.0" encoding="utf-8"?>
<styleSheet xmlns="http://schemas.openxmlformats.org/spreadsheetml/2006/main">
  <numFmts count="1">
    <numFmt numFmtId="164" formatCode="#,##0.0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Profitability Margins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'Ratio Analysis'!$A$2</c:f>
              <c:strCache>
                <c:ptCount val="1"/>
                <c:pt idx="0">
                  <c:v>Gross Profit Margin (%)</c:v>
                </c:pt>
              </c:strCache>
            </c:strRef>
          </c:tx>
          <c:marker>
            <c:symbol val="circle"/>
          </c:marker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Analysis'!$B$2:$F$2</c:f>
              <c:numCache>
                <c:formatCode>General</c:formatCode>
                <c:ptCount val="5"/>
                <c:pt idx="0">
                  <c:v>0</c:v>
                </c:pt>
                <c:pt idx="1">
                  <c:v>23.60542155258254</c:v>
                </c:pt>
                <c:pt idx="2">
                  <c:v>23.45964788371391</c:v>
                </c:pt>
                <c:pt idx="3">
                  <c:v>25.13306490992871</c:v>
                </c:pt>
                <c:pt idx="4">
                  <c:v>25.08632279906665</c:v>
                </c:pt>
              </c:numCache>
            </c:numRef>
          </c:val>
        </c:ser>
        <c:ser>
          <c:idx val="1"/>
          <c:order val="1"/>
          <c:tx>
            <c:strRef>
              <c:f>'Ratio Analysis'!$A$3</c:f>
              <c:strCache>
                <c:ptCount val="1"/>
                <c:pt idx="0">
                  <c:v>EBITDA Margin (%)</c:v>
                </c:pt>
              </c:strCache>
            </c:strRef>
          </c:tx>
          <c:marker>
            <c:symbol val="circle"/>
          </c:marker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Analysis'!$B$3:$F$3</c:f>
              <c:numCache>
                <c:formatCode>General</c:formatCode>
                <c:ptCount val="5"/>
                <c:pt idx="0">
                  <c:v>0</c:v>
                </c:pt>
                <c:pt idx="1">
                  <c:v>18.15814921195523</c:v>
                </c:pt>
                <c:pt idx="2">
                  <c:v>17.46421594035326</c:v>
                </c:pt>
                <c:pt idx="3">
                  <c:v>19.63722887608427</c:v>
                </c:pt>
                <c:pt idx="4">
                  <c:v>18.79084848754992</c:v>
                </c:pt>
              </c:numCache>
            </c:numRef>
          </c:val>
        </c:ser>
        <c:ser>
          <c:idx val="2"/>
          <c:order val="2"/>
          <c:tx>
            <c:strRef>
              <c:f>'Ratio Analysis'!$A$4</c:f>
              <c:strCache>
                <c:ptCount val="1"/>
                <c:pt idx="0">
                  <c:v>EBIT Margin (%)</c:v>
                </c:pt>
              </c:strCache>
            </c:strRef>
          </c:tx>
          <c:marker>
            <c:symbol val="circle"/>
          </c:marker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Analysis'!$B$4:$F$4</c:f>
              <c:numCache>
                <c:formatCode>General</c:formatCode>
                <c:ptCount val="5"/>
                <c:pt idx="0">
                  <c:v>0</c:v>
                </c:pt>
                <c:pt idx="1">
                  <c:v>13.87889873455917</c:v>
                </c:pt>
                <c:pt idx="2">
                  <c:v>12.87303422624981</c:v>
                </c:pt>
                <c:pt idx="3">
                  <c:v>13.99589818259302</c:v>
                </c:pt>
                <c:pt idx="4">
                  <c:v>13.2827749346165</c:v>
                </c:pt>
              </c:numCache>
            </c:numRef>
          </c:val>
        </c:ser>
        <c:ser>
          <c:idx val="3"/>
          <c:order val="3"/>
          <c:tx>
            <c:strRef>
              <c:f>'Ratio Analysis'!$A$5</c:f>
              <c:strCache>
                <c:ptCount val="1"/>
                <c:pt idx="0">
                  <c:v>Net Profit Margin (%)</c:v>
                </c:pt>
              </c:strCache>
            </c:strRef>
          </c:tx>
          <c:marker>
            <c:symbol val="circle"/>
          </c:marker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Analysis'!$B$5:$F$5</c:f>
              <c:numCache>
                <c:formatCode>General</c:formatCode>
                <c:ptCount val="5"/>
                <c:pt idx="0">
                  <c:v>0</c:v>
                </c:pt>
                <c:pt idx="1">
                  <c:v>8.722446451894712</c:v>
                </c:pt>
                <c:pt idx="2">
                  <c:v>7.598466682235272</c:v>
                </c:pt>
                <c:pt idx="3">
                  <c:v>7.726532188612574</c:v>
                </c:pt>
                <c:pt idx="4">
                  <c:v>7.219706165588431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Return on Assets &amp; Equity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'Ratio Analysis'!$A$12</c:f>
              <c:strCache>
                <c:ptCount val="1"/>
                <c:pt idx="0">
                  <c:v>Return on Assets (ROA) (%)</c:v>
                </c:pt>
              </c:strCache>
            </c:strRef>
          </c:tx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Analysis'!$B$12:$F$12</c:f>
              <c:numCache>
                <c:formatCode>General</c:formatCode>
                <c:ptCount val="5"/>
                <c:pt idx="0">
                  <c:v>0</c:v>
                </c:pt>
                <c:pt idx="1">
                  <c:v>4.047904031900458</c:v>
                </c:pt>
                <c:pt idx="2">
                  <c:v>4.149602689011223</c:v>
                </c:pt>
                <c:pt idx="3">
                  <c:v>3.964781040395538</c:v>
                </c:pt>
                <c:pt idx="4">
                  <c:v>3.571470693356976</c:v>
                </c:pt>
              </c:numCache>
            </c:numRef>
          </c:val>
        </c:ser>
        <c:ser>
          <c:idx val="1"/>
          <c:order val="1"/>
          <c:tx>
            <c:strRef>
              <c:f>'Ratio Analysis'!$A$10</c:f>
              <c:strCache>
                <c:ptCount val="1"/>
                <c:pt idx="0">
                  <c:v>Return on Equity (ROE) (%)</c:v>
                </c:pt>
              </c:strCache>
            </c:strRef>
          </c:tx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Analysis'!$B$10:$F$10</c:f>
              <c:numCache>
                <c:formatCode>General</c:formatCode>
                <c:ptCount val="5"/>
                <c:pt idx="0">
                  <c:v>0</c:v>
                </c:pt>
                <c:pt idx="1">
                  <c:v>7.787834275194519</c:v>
                </c:pt>
                <c:pt idx="2">
                  <c:v>9.317587501676277</c:v>
                </c:pt>
                <c:pt idx="3">
                  <c:v>8.774123135903695</c:v>
                </c:pt>
                <c:pt idx="4">
                  <c:v>8.259962049335863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Liquidity Ratios (Current / Quick)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'Ratio Analysis'!$A$13</c:f>
              <c:strCache>
                <c:ptCount val="1"/>
                <c:pt idx="0">
                  <c:v>Current Ratio</c:v>
                </c:pt>
              </c:strCache>
            </c:strRef>
          </c:tx>
          <c:marker>
            <c:symbol val="diamond"/>
          </c:marker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Analysis'!$B$13:$F$13</c:f>
              <c:numCache>
                <c:formatCode>General</c:formatCode>
                <c:ptCount val="5"/>
                <c:pt idx="0">
                  <c:v>0</c:v>
                </c:pt>
                <c:pt idx="1">
                  <c:v>1.1242686174521</c:v>
                </c:pt>
                <c:pt idx="2">
                  <c:v>1.074677252661449</c:v>
                </c:pt>
                <c:pt idx="3">
                  <c:v>1.183037343312354</c:v>
                </c:pt>
                <c:pt idx="4">
                  <c:v>1.100351084438783</c:v>
                </c:pt>
              </c:numCache>
            </c:numRef>
          </c:val>
        </c:ser>
        <c:ser>
          <c:idx val="1"/>
          <c:order val="1"/>
          <c:tx>
            <c:strRef>
              <c:f>'Ratio Analysis'!$A$14</c:f>
              <c:strCache>
                <c:ptCount val="1"/>
                <c:pt idx="0">
                  <c:v>Quick Ratio</c:v>
                </c:pt>
              </c:strCache>
            </c:strRef>
          </c:tx>
          <c:marker>
            <c:symbol val="diamond"/>
          </c:marker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Analysis'!$B$14:$F$14</c:f>
              <c:numCache>
                <c:formatCode>General</c:formatCode>
                <c:ptCount val="5"/>
                <c:pt idx="0">
                  <c:v>0</c:v>
                </c:pt>
                <c:pt idx="1">
                  <c:v>0.7750905521249781</c:v>
                </c:pt>
                <c:pt idx="2">
                  <c:v>0.7208920941115825</c:v>
                </c:pt>
                <c:pt idx="3">
                  <c:v>0.7985816638019765</c:v>
                </c:pt>
                <c:pt idx="4">
                  <c:v>0.7784421371851976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YoY Growth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'Ratio Analysis'!$A$21</c:f>
              <c:strCache>
                <c:ptCount val="1"/>
                <c:pt idx="0">
                  <c:v>Revenue Growth (%)</c:v>
                </c:pt>
              </c:strCache>
            </c:strRef>
          </c:tx>
          <c:spPr>
            <a:solidFill>
              <a:srgbClr val="2563EB"/>
            </a:solidFill>
          </c:spPr>
          <c:cat>
            <c:strRef>
              <c:f>'Ratio Analysis'!$B$1:$F$1</c:f>
              <c:strCache>
                <c:ptCount val="5"/>
                <c:pt idx="0">
                  <c:v>2021-03-31T00:00:00</c:v>
                </c:pt>
                <c:pt idx="1">
                  <c:v>2022-03-31T00:00:00</c:v>
                </c:pt>
                <c:pt idx="2">
                  <c:v>2023-03-31T00:00:00</c:v>
                </c:pt>
                <c:pt idx="3">
                  <c:v>2024-03-31T00:00:00</c:v>
                </c:pt>
                <c:pt idx="4">
                  <c:v>2025-03-31T00:00:00</c:v>
                </c:pt>
              </c:strCache>
            </c:strRef>
          </c:cat>
          <c:val>
            <c:numRef>
              <c:f>'Ratio Analysis'!$B$21:$F$21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26.13242370643267</c:v>
                </c:pt>
                <c:pt idx="3">
                  <c:v>2.64616926871224</c:v>
                </c:pt>
                <c:pt idx="4">
                  <c:v>7.061540578693637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28</xdr:row>
      <xdr:rowOff>0</xdr:rowOff>
    </xdr:from>
    <xdr:to>
      <xdr:col>5</xdr:col>
      <xdr:colOff>723900</xdr:colOff>
      <xdr:row>45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18</xdr:col>
      <xdr:colOff>228600</xdr:colOff>
      <xdr:row>45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48</xdr:row>
      <xdr:rowOff>0</xdr:rowOff>
    </xdr:from>
    <xdr:to>
      <xdr:col>5</xdr:col>
      <xdr:colOff>723900</xdr:colOff>
      <xdr:row>65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48</xdr:row>
      <xdr:rowOff>0</xdr:rowOff>
    </xdr:from>
    <xdr:to>
      <xdr:col>18</xdr:col>
      <xdr:colOff>228600</xdr:colOff>
      <xdr:row>65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6" width="18.7109375" style="1" customWidth="1"/>
  </cols>
  <sheetData>
    <row r="1" spans="1:6">
      <c r="B1" s="2" t="s">
        <v>50</v>
      </c>
      <c r="C1" s="2" t="s">
        <v>51</v>
      </c>
      <c r="D1" s="2" t="s">
        <v>52</v>
      </c>
      <c r="E1" s="2" t="s">
        <v>53</v>
      </c>
      <c r="F1" s="2" t="s">
        <v>54</v>
      </c>
    </row>
    <row r="2" spans="1:6">
      <c r="A2" t="s">
        <v>0</v>
      </c>
      <c r="C2" s="1">
        <v>8188344000</v>
      </c>
      <c r="D2" s="1">
        <v>-3185730000</v>
      </c>
      <c r="E2" s="1">
        <v>4065480000</v>
      </c>
      <c r="F2" s="1">
        <v>3339140000</v>
      </c>
    </row>
    <row r="3" spans="1:6">
      <c r="A3" t="s">
        <v>1</v>
      </c>
      <c r="C3" s="1">
        <v>0.2004</v>
      </c>
      <c r="D3" s="1">
        <v>0.2185</v>
      </c>
      <c r="E3" s="1">
        <v>0.2455</v>
      </c>
      <c r="F3" s="1">
        <v>0.238</v>
      </c>
    </row>
    <row r="4" spans="1:6">
      <c r="A4" t="s">
        <v>2</v>
      </c>
      <c r="C4" s="1">
        <v>1222880000000</v>
      </c>
      <c r="D4" s="1">
        <v>1547650000000</v>
      </c>
      <c r="E4" s="1">
        <v>1752880000000</v>
      </c>
      <c r="F4" s="1">
        <v>1798710000000</v>
      </c>
    </row>
    <row r="5" spans="1:6">
      <c r="A5" t="s">
        <v>3</v>
      </c>
      <c r="C5" s="1">
        <v>40860000000</v>
      </c>
      <c r="D5" s="1">
        <v>-14580000000</v>
      </c>
      <c r="E5" s="1">
        <v>16560000000</v>
      </c>
      <c r="F5" s="1">
        <v>14030000000</v>
      </c>
    </row>
    <row r="6" spans="1:6">
      <c r="A6" t="s">
        <v>4</v>
      </c>
      <c r="C6" s="1">
        <v>40860000000</v>
      </c>
      <c r="D6" s="1">
        <v>-14580000000</v>
      </c>
      <c r="E6" s="1">
        <v>16560000000</v>
      </c>
      <c r="F6" s="1">
        <v>14030000000</v>
      </c>
    </row>
    <row r="7" spans="1:6">
      <c r="A7" t="s">
        <v>5</v>
      </c>
      <c r="C7" s="1">
        <v>590440000000</v>
      </c>
      <c r="D7" s="1">
        <v>662840000000</v>
      </c>
      <c r="E7" s="1">
        <v>696210000000</v>
      </c>
      <c r="F7" s="1">
        <v>696480000000</v>
      </c>
    </row>
    <row r="8" spans="1:6">
      <c r="A8" t="s">
        <v>6</v>
      </c>
      <c r="C8" s="1">
        <v>297820000000</v>
      </c>
      <c r="D8" s="1">
        <v>403030000000</v>
      </c>
      <c r="E8" s="1">
        <v>508320000000</v>
      </c>
      <c r="F8" s="1">
        <v>531360000000</v>
      </c>
    </row>
    <row r="9" spans="1:6">
      <c r="A9" t="s">
        <v>7</v>
      </c>
      <c r="C9" s="1">
        <v>5316780000000</v>
      </c>
      <c r="D9" s="1">
        <v>6718980000000</v>
      </c>
      <c r="E9" s="1">
        <v>6745990000000</v>
      </c>
      <c r="F9" s="1">
        <v>7226870000000</v>
      </c>
    </row>
    <row r="10" spans="1:6">
      <c r="A10" t="s">
        <v>8</v>
      </c>
      <c r="C10" s="1">
        <v>1263740000000</v>
      </c>
      <c r="D10" s="1">
        <v>1533070000000</v>
      </c>
      <c r="E10" s="1">
        <v>1769440000000</v>
      </c>
      <c r="F10" s="1">
        <v>1812740000000</v>
      </c>
    </row>
    <row r="11" spans="1:6">
      <c r="A11" t="s">
        <v>9</v>
      </c>
      <c r="C11" s="1">
        <v>965920000000</v>
      </c>
      <c r="D11" s="1">
        <v>1130040000000</v>
      </c>
      <c r="E11" s="1">
        <v>1261120000000</v>
      </c>
      <c r="F11" s="1">
        <v>1281380000000</v>
      </c>
    </row>
    <row r="12" spans="1:6">
      <c r="A12" t="s">
        <v>10</v>
      </c>
      <c r="C12" s="1">
        <v>-19260000000</v>
      </c>
      <c r="D12" s="1">
        <v>-78420000000</v>
      </c>
      <c r="E12" s="1">
        <v>-111900000000</v>
      </c>
      <c r="F12" s="1">
        <v>-100010000000</v>
      </c>
    </row>
    <row r="13" spans="1:6">
      <c r="A13" t="s">
        <v>11</v>
      </c>
      <c r="C13" s="1">
        <v>144380000000</v>
      </c>
      <c r="D13" s="1">
        <v>189580000000</v>
      </c>
      <c r="E13" s="1">
        <v>217720000000</v>
      </c>
      <c r="F13" s="1">
        <v>221210000000</v>
      </c>
    </row>
    <row r="14" spans="1:6">
      <c r="A14" t="s">
        <v>12</v>
      </c>
      <c r="C14" s="1">
        <v>125290000000</v>
      </c>
      <c r="D14" s="1">
        <v>112400000000</v>
      </c>
      <c r="E14" s="1">
        <v>107450000000</v>
      </c>
      <c r="F14" s="1">
        <v>124100000000</v>
      </c>
    </row>
    <row r="15" spans="1:6">
      <c r="A15" t="s">
        <v>13</v>
      </c>
      <c r="C15" s="1">
        <v>557768344000</v>
      </c>
      <c r="D15" s="1">
        <v>674234270000</v>
      </c>
      <c r="E15" s="1">
        <v>683715480000</v>
      </c>
      <c r="F15" s="1">
        <v>685789140000</v>
      </c>
    </row>
    <row r="16" spans="1:6">
      <c r="A16" t="s">
        <v>14</v>
      </c>
      <c r="C16" s="1">
        <v>607050000000</v>
      </c>
      <c r="D16" s="1">
        <v>667020000000</v>
      </c>
      <c r="E16" s="1">
        <v>696210000000</v>
      </c>
      <c r="F16" s="1">
        <v>696480000000</v>
      </c>
    </row>
    <row r="17" spans="1:6">
      <c r="A17" t="s">
        <v>15</v>
      </c>
      <c r="C17" s="1">
        <v>6172000000000</v>
      </c>
      <c r="D17" s="1">
        <v>7758200000000</v>
      </c>
      <c r="E17" s="1">
        <v>7893980000000</v>
      </c>
      <c r="F17" s="1">
        <v>8522310000000</v>
      </c>
    </row>
    <row r="18" spans="1:6">
      <c r="A18" t="s">
        <v>16</v>
      </c>
      <c r="C18" s="1">
        <v>6260000000</v>
      </c>
      <c r="D18" s="1">
        <v>8440000000</v>
      </c>
      <c r="E18" s="1">
        <v>7150000000</v>
      </c>
      <c r="F18" s="1">
        <v>27790000000</v>
      </c>
    </row>
    <row r="19" spans="1:6">
      <c r="A19" t="s">
        <v>17</v>
      </c>
      <c r="C19" s="1">
        <v>13532311532</v>
      </c>
      <c r="D19" s="1">
        <v>13532311532</v>
      </c>
      <c r="E19" s="1">
        <v>13532481373</v>
      </c>
      <c r="F19" s="1">
        <v>13532410577</v>
      </c>
    </row>
    <row r="20" spans="1:6">
      <c r="A20" t="s">
        <v>18</v>
      </c>
      <c r="C20" s="1">
        <v>13531101934</v>
      </c>
      <c r="D20" s="1">
        <v>13531101934</v>
      </c>
      <c r="E20" s="1">
        <v>13531621632</v>
      </c>
      <c r="F20" s="1">
        <v>13532092187</v>
      </c>
    </row>
    <row r="21" spans="1:6">
      <c r="A21" t="s">
        <v>19</v>
      </c>
      <c r="C21" s="1">
        <v>45.43</v>
      </c>
      <c r="D21" s="1">
        <v>49.295</v>
      </c>
      <c r="E21" s="1">
        <v>51.45</v>
      </c>
      <c r="F21" s="1">
        <v>51.47</v>
      </c>
    </row>
    <row r="22" spans="1:6">
      <c r="A22" t="s">
        <v>20</v>
      </c>
      <c r="C22" s="1">
        <v>46</v>
      </c>
      <c r="D22" s="1">
        <v>49.295</v>
      </c>
      <c r="E22" s="1">
        <v>51.45</v>
      </c>
      <c r="F22" s="1">
        <v>51.47</v>
      </c>
    </row>
    <row r="23" spans="1:6">
      <c r="A23" t="s">
        <v>21</v>
      </c>
      <c r="C23" s="1">
        <v>607050000000</v>
      </c>
      <c r="D23" s="1">
        <v>667020000000</v>
      </c>
      <c r="E23" s="1">
        <v>696210000000</v>
      </c>
      <c r="F23" s="1">
        <v>696480000000</v>
      </c>
    </row>
    <row r="24" spans="1:6">
      <c r="A24" t="s">
        <v>22</v>
      </c>
      <c r="C24" s="1">
        <v>607050000000</v>
      </c>
      <c r="D24" s="1">
        <v>667020000000</v>
      </c>
      <c r="E24" s="1">
        <v>696210000000</v>
      </c>
      <c r="F24" s="1">
        <v>696480000000</v>
      </c>
    </row>
    <row r="25" spans="1:6">
      <c r="A25" t="s">
        <v>23</v>
      </c>
      <c r="C25" s="1">
        <v>0</v>
      </c>
      <c r="D25" s="1">
        <v>0</v>
      </c>
      <c r="E25" s="1">
        <v>0</v>
      </c>
      <c r="F25" s="1">
        <v>0</v>
      </c>
    </row>
    <row r="26" spans="1:6">
      <c r="A26" t="s">
        <v>24</v>
      </c>
      <c r="C26" s="1">
        <v>607050000000</v>
      </c>
      <c r="D26" s="1">
        <v>667020000000</v>
      </c>
      <c r="E26" s="1">
        <v>696210000000</v>
      </c>
      <c r="F26" s="1">
        <v>696480000000</v>
      </c>
    </row>
    <row r="27" spans="1:6">
      <c r="A27" t="s">
        <v>25</v>
      </c>
      <c r="C27" s="1">
        <v>-71400000000</v>
      </c>
      <c r="D27" s="1">
        <v>-73860000000</v>
      </c>
      <c r="E27" s="1">
        <v>-93990000000</v>
      </c>
      <c r="F27" s="1">
        <v>-116610000000</v>
      </c>
    </row>
    <row r="28" spans="1:6">
      <c r="A28" t="s">
        <v>26</v>
      </c>
      <c r="C28" s="1">
        <v>678450000000</v>
      </c>
      <c r="D28" s="1">
        <v>740880000000</v>
      </c>
      <c r="E28" s="1">
        <v>790200000000</v>
      </c>
      <c r="F28" s="1">
        <v>813090000000</v>
      </c>
    </row>
    <row r="29" spans="1:6">
      <c r="A29" t="s">
        <v>27</v>
      </c>
      <c r="C29" s="1">
        <v>16610000000</v>
      </c>
      <c r="D29" s="1">
        <v>4180000000</v>
      </c>
      <c r="E29" s="1">
        <v>0</v>
      </c>
    </row>
    <row r="30" spans="1:6">
      <c r="A30" t="s">
        <v>28</v>
      </c>
      <c r="C30" s="1">
        <v>661840000000</v>
      </c>
      <c r="D30" s="1">
        <v>736700000000</v>
      </c>
      <c r="E30" s="1">
        <v>790200000000</v>
      </c>
      <c r="F30" s="1">
        <v>813090000000</v>
      </c>
    </row>
    <row r="31" spans="1:6">
      <c r="A31" t="s">
        <v>29</v>
      </c>
      <c r="C31" s="1">
        <v>159700000000</v>
      </c>
      <c r="D31" s="1">
        <v>203760000000</v>
      </c>
      <c r="E31" s="1">
        <v>257070000000</v>
      </c>
      <c r="F31" s="1">
        <v>252300000000</v>
      </c>
    </row>
    <row r="32" spans="1:6">
      <c r="A32" t="s">
        <v>30</v>
      </c>
      <c r="C32" s="1">
        <v>821540000000</v>
      </c>
      <c r="D32" s="1">
        <v>940460000000</v>
      </c>
      <c r="E32" s="1">
        <v>1043400000000</v>
      </c>
      <c r="F32" s="1">
        <v>1060170000000</v>
      </c>
    </row>
    <row r="33" spans="1:6">
      <c r="A33" t="s">
        <v>31</v>
      </c>
      <c r="C33" s="1">
        <v>10240000000</v>
      </c>
      <c r="D33" s="1">
        <v>17580000000</v>
      </c>
      <c r="E33" s="1">
        <v>33020000000</v>
      </c>
      <c r="F33" s="1">
        <v>35070000000</v>
      </c>
    </row>
    <row r="34" spans="1:6">
      <c r="A34" t="s">
        <v>32</v>
      </c>
      <c r="C34" s="1">
        <v>27370000000</v>
      </c>
      <c r="D34" s="1">
        <v>-1560000000</v>
      </c>
      <c r="E34" s="1">
        <v>-2650000000</v>
      </c>
      <c r="F34" s="1">
        <v>-1540000000</v>
      </c>
    </row>
    <row r="35" spans="1:6">
      <c r="A35" t="s">
        <v>33</v>
      </c>
      <c r="C35" s="1">
        <v>-27370000000</v>
      </c>
      <c r="D35" s="1">
        <v>1560000000</v>
      </c>
      <c r="E35" s="1">
        <v>2650000000</v>
      </c>
      <c r="F35" s="1">
        <v>1540000000</v>
      </c>
    </row>
    <row r="36" spans="1:6">
      <c r="A36" t="s">
        <v>34</v>
      </c>
      <c r="B36" s="1">
        <v>1210000000</v>
      </c>
      <c r="C36" s="1">
        <v>0</v>
      </c>
    </row>
    <row r="37" spans="1:6">
      <c r="A37" t="s">
        <v>35</v>
      </c>
      <c r="C37" s="1">
        <v>-19260000000</v>
      </c>
      <c r="D37" s="1">
        <v>-78420000000</v>
      </c>
      <c r="E37" s="1">
        <v>-111900000000</v>
      </c>
      <c r="F37" s="1">
        <v>-100010000000</v>
      </c>
    </row>
    <row r="38" spans="1:6">
      <c r="A38" t="s">
        <v>36</v>
      </c>
      <c r="C38" s="1">
        <v>170000000</v>
      </c>
      <c r="D38" s="1">
        <v>1240000000</v>
      </c>
      <c r="E38" s="1">
        <v>1630000000</v>
      </c>
      <c r="F38" s="1">
        <v>2900000000</v>
      </c>
    </row>
    <row r="39" spans="1:6">
      <c r="A39" t="s">
        <v>37</v>
      </c>
      <c r="C39" s="1">
        <v>144380000000</v>
      </c>
      <c r="D39" s="1">
        <v>189580000000</v>
      </c>
      <c r="E39" s="1">
        <v>217720000000</v>
      </c>
      <c r="F39" s="1">
        <v>221210000000</v>
      </c>
    </row>
    <row r="40" spans="1:6">
      <c r="A40" t="s">
        <v>38</v>
      </c>
      <c r="C40" s="1">
        <v>125290000000</v>
      </c>
      <c r="D40" s="1">
        <v>112400000000</v>
      </c>
      <c r="E40" s="1">
        <v>107450000000</v>
      </c>
      <c r="F40" s="1">
        <v>124100000000</v>
      </c>
    </row>
    <row r="41" spans="1:6">
      <c r="A41" t="s">
        <v>39</v>
      </c>
      <c r="C41" s="1">
        <v>787630000000</v>
      </c>
      <c r="D41" s="1">
        <v>1020150000000</v>
      </c>
      <c r="E41" s="1">
        <v>1116660000000</v>
      </c>
      <c r="F41" s="1">
        <v>1124620000000</v>
      </c>
    </row>
    <row r="42" spans="1:6">
      <c r="A42" t="s">
        <v>40</v>
      </c>
      <c r="C42" s="1">
        <v>855220000000</v>
      </c>
      <c r="D42" s="1">
        <v>1039220000000</v>
      </c>
      <c r="E42" s="1">
        <v>1147990000000</v>
      </c>
      <c r="F42" s="1">
        <v>1295440000000</v>
      </c>
    </row>
    <row r="43" spans="1:6">
      <c r="A43" t="s">
        <v>41</v>
      </c>
      <c r="C43" s="1">
        <v>420900000000</v>
      </c>
      <c r="D43" s="1">
        <v>477350000000</v>
      </c>
      <c r="E43" s="1">
        <v>530450000000</v>
      </c>
      <c r="F43" s="1">
        <v>631920000000</v>
      </c>
    </row>
    <row r="44" spans="1:6">
      <c r="A44" t="s">
        <v>42</v>
      </c>
      <c r="C44" s="1">
        <v>248250000000</v>
      </c>
      <c r="D44" s="1">
        <v>316730000000</v>
      </c>
      <c r="E44" s="1">
        <v>371420000000</v>
      </c>
      <c r="F44" s="1">
        <v>380260000000</v>
      </c>
    </row>
    <row r="45" spans="1:6">
      <c r="A45" t="s">
        <v>43</v>
      </c>
      <c r="C45" s="1">
        <v>159420000000</v>
      </c>
      <c r="D45" s="1">
        <v>197360000000</v>
      </c>
      <c r="E45" s="1">
        <v>209890000000</v>
      </c>
      <c r="F45" s="1">
        <v>216010000000</v>
      </c>
    </row>
    <row r="46" spans="1:6">
      <c r="A46" t="s">
        <v>44</v>
      </c>
      <c r="C46" s="1">
        <v>88830000000</v>
      </c>
      <c r="D46" s="1">
        <v>119370000000</v>
      </c>
      <c r="E46" s="1">
        <v>161530000000</v>
      </c>
      <c r="F46" s="1">
        <v>164250000000</v>
      </c>
    </row>
    <row r="47" spans="1:6">
      <c r="A47" t="s">
        <v>45</v>
      </c>
      <c r="C47" s="1">
        <v>5780000000</v>
      </c>
      <c r="D47" s="1">
        <v>7290000000</v>
      </c>
      <c r="E47" s="1">
        <v>6010000000</v>
      </c>
      <c r="F47" s="1">
        <v>26230000000</v>
      </c>
    </row>
    <row r="48" spans="1:6">
      <c r="A48" t="s">
        <v>46</v>
      </c>
      <c r="C48" s="1">
        <v>1642850000000</v>
      </c>
      <c r="D48" s="1">
        <v>2059370000000</v>
      </c>
      <c r="E48" s="1">
        <v>2264650000000</v>
      </c>
      <c r="F48" s="1">
        <v>2420060000000</v>
      </c>
    </row>
    <row r="49" spans="1:6">
      <c r="A49" t="s">
        <v>47</v>
      </c>
      <c r="C49" s="1">
        <v>5316780000000</v>
      </c>
      <c r="D49" s="1">
        <v>6718980000000</v>
      </c>
      <c r="E49" s="1">
        <v>6745990000000</v>
      </c>
      <c r="F49" s="1">
        <v>7226870000000</v>
      </c>
    </row>
    <row r="50" spans="1:6">
      <c r="A50" t="s">
        <v>48</v>
      </c>
      <c r="C50" s="1">
        <v>6959630000000</v>
      </c>
      <c r="D50" s="1">
        <v>8778350000000</v>
      </c>
      <c r="E50" s="1">
        <v>9010640000000</v>
      </c>
      <c r="F50" s="1">
        <v>9646930000000</v>
      </c>
    </row>
    <row r="51" spans="1:6">
      <c r="A51" t="s">
        <v>49</v>
      </c>
      <c r="C51" s="1">
        <v>6959630000000</v>
      </c>
      <c r="D51" s="1">
        <v>8778350000000</v>
      </c>
      <c r="E51" s="1">
        <v>9010640000000</v>
      </c>
      <c r="F51" s="1">
        <v>9646930000000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6" width="18.7109375" style="1" customWidth="1"/>
  </cols>
  <sheetData>
    <row r="1" spans="1:6">
      <c r="B1" s="2" t="s">
        <v>50</v>
      </c>
      <c r="C1" s="2" t="s">
        <v>51</v>
      </c>
      <c r="D1" s="2" t="s">
        <v>52</v>
      </c>
      <c r="E1" s="2" t="s">
        <v>53</v>
      </c>
      <c r="F1" s="2" t="s">
        <v>54</v>
      </c>
    </row>
    <row r="2" spans="1:6">
      <c r="A2" t="s">
        <v>55</v>
      </c>
      <c r="C2" s="1">
        <v>13531988028</v>
      </c>
      <c r="D2" s="1">
        <v>13532188028</v>
      </c>
      <c r="E2" s="1">
        <v>13532218028</v>
      </c>
      <c r="F2" s="1">
        <v>13532871488</v>
      </c>
    </row>
    <row r="3" spans="1:6">
      <c r="A3" t="s">
        <v>56</v>
      </c>
      <c r="C3" s="1">
        <v>13531988028</v>
      </c>
      <c r="D3" s="1">
        <v>13532188028</v>
      </c>
      <c r="E3" s="1">
        <v>13532218028</v>
      </c>
      <c r="F3" s="1">
        <v>13532871488</v>
      </c>
    </row>
    <row r="4" spans="1:6">
      <c r="A4" t="s">
        <v>57</v>
      </c>
      <c r="C4" s="1">
        <v>2327960000000</v>
      </c>
      <c r="D4" s="1">
        <v>2798100000000</v>
      </c>
      <c r="E4" s="1">
        <v>2310820000000</v>
      </c>
      <c r="F4" s="1">
        <v>2468850000000</v>
      </c>
    </row>
    <row r="5" spans="1:6">
      <c r="A5" t="s">
        <v>58</v>
      </c>
      <c r="C5" s="1">
        <v>2819740000000</v>
      </c>
      <c r="D5" s="1">
        <v>3343920000000</v>
      </c>
      <c r="E5" s="1">
        <v>3461420000000</v>
      </c>
      <c r="F5" s="1">
        <v>3695750000000</v>
      </c>
    </row>
    <row r="6" spans="1:6">
      <c r="A6" t="s">
        <v>59</v>
      </c>
      <c r="C6" s="1">
        <v>5476870000000</v>
      </c>
      <c r="D6" s="1">
        <v>3850770000000</v>
      </c>
      <c r="E6" s="1">
        <v>4331070000000</v>
      </c>
      <c r="F6" s="1">
        <v>4342610000000</v>
      </c>
    </row>
    <row r="7" spans="1:6">
      <c r="A7" t="s">
        <v>60</v>
      </c>
      <c r="C7" s="1">
        <v>10457900000000</v>
      </c>
      <c r="D7" s="1">
        <v>10298380000000</v>
      </c>
      <c r="E7" s="1">
        <v>11181030000000</v>
      </c>
      <c r="F7" s="1">
        <v>11907300000000</v>
      </c>
    </row>
    <row r="8" spans="1:6">
      <c r="A8" t="s">
        <v>61</v>
      </c>
      <c r="C8" s="1">
        <v>383570000000</v>
      </c>
      <c r="D8" s="1">
        <v>295530000000</v>
      </c>
      <c r="E8" s="1">
        <v>727330000000</v>
      </c>
      <c r="F8" s="1">
        <v>455330000000</v>
      </c>
    </row>
    <row r="9" spans="1:6">
      <c r="A9" t="s">
        <v>62</v>
      </c>
      <c r="C9" s="1">
        <v>5476870000000</v>
      </c>
      <c r="D9" s="1">
        <v>3850770000000</v>
      </c>
      <c r="E9" s="1">
        <v>4331070000000</v>
      </c>
      <c r="F9" s="1">
        <v>4342610000000</v>
      </c>
    </row>
    <row r="10" spans="1:6">
      <c r="A10" t="s">
        <v>63</v>
      </c>
      <c r="C10" s="1">
        <v>156690000000</v>
      </c>
      <c r="D10" s="1">
        <v>204260000000</v>
      </c>
      <c r="E10" s="1">
        <v>215200000000</v>
      </c>
      <c r="F10" s="1">
        <v>220450000000</v>
      </c>
    </row>
    <row r="11" spans="1:6">
      <c r="A11" t="s">
        <v>64</v>
      </c>
      <c r="C11" s="1">
        <v>7794850000000</v>
      </c>
      <c r="D11" s="1">
        <v>7158720000000</v>
      </c>
      <c r="E11" s="1">
        <v>7934810000000</v>
      </c>
      <c r="F11" s="1">
        <v>8432000000000</v>
      </c>
    </row>
    <row r="12" spans="1:6">
      <c r="A12" t="s">
        <v>65</v>
      </c>
      <c r="C12" s="1">
        <v>9671840000000</v>
      </c>
      <c r="D12" s="1">
        <v>8990480000000</v>
      </c>
      <c r="E12" s="1">
        <v>10161930000000</v>
      </c>
      <c r="F12" s="1">
        <v>10800990000000</v>
      </c>
    </row>
    <row r="13" spans="1:6">
      <c r="A13" t="s">
        <v>66</v>
      </c>
      <c r="C13" s="1">
        <v>8889840000000</v>
      </c>
      <c r="D13" s="1">
        <v>8288810000000</v>
      </c>
      <c r="E13" s="1">
        <v>9257880000000</v>
      </c>
      <c r="F13" s="1">
        <v>10096260000000</v>
      </c>
    </row>
    <row r="14" spans="1:6">
      <c r="A14" t="s">
        <v>67</v>
      </c>
      <c r="C14" s="1">
        <v>1094990000000</v>
      </c>
      <c r="D14" s="1">
        <v>1130090000000</v>
      </c>
      <c r="E14" s="1">
        <v>1323070000000</v>
      </c>
      <c r="F14" s="1">
        <v>1664260000000</v>
      </c>
    </row>
    <row r="15" spans="1:6">
      <c r="A15" t="s">
        <v>68</v>
      </c>
      <c r="C15" s="1">
        <v>7794850000000</v>
      </c>
      <c r="D15" s="1">
        <v>7158720000000</v>
      </c>
      <c r="E15" s="1">
        <v>7934810000000</v>
      </c>
      <c r="F15" s="1">
        <v>8432000000000</v>
      </c>
    </row>
    <row r="16" spans="1:6">
      <c r="A16" t="s">
        <v>69</v>
      </c>
      <c r="C16" s="1">
        <v>4340000000</v>
      </c>
      <c r="D16" s="1">
        <v>6460000000</v>
      </c>
      <c r="E16" s="1">
        <v>7800000000</v>
      </c>
      <c r="F16" s="1">
        <v>7900000000</v>
      </c>
    </row>
    <row r="17" spans="1:6">
      <c r="A17" t="s">
        <v>70</v>
      </c>
      <c r="C17" s="1">
        <v>2479510000000</v>
      </c>
      <c r="D17" s="1">
        <v>2957390000000</v>
      </c>
      <c r="E17" s="1">
        <v>3397870000000</v>
      </c>
      <c r="F17" s="1">
        <v>3919430000000</v>
      </c>
    </row>
    <row r="18" spans="1:6">
      <c r="A18" t="s">
        <v>71</v>
      </c>
      <c r="C18" s="1">
        <v>1148460000000</v>
      </c>
      <c r="D18" s="1">
        <v>998360000000</v>
      </c>
      <c r="E18" s="1">
        <v>998460000000</v>
      </c>
      <c r="F18" s="1">
        <v>931480000000</v>
      </c>
    </row>
    <row r="19" spans="1:6">
      <c r="A19" t="s">
        <v>72</v>
      </c>
      <c r="C19" s="1">
        <v>67650000000</v>
      </c>
      <c r="D19" s="1">
        <v>67660000000</v>
      </c>
      <c r="E19" s="1">
        <v>67660000000</v>
      </c>
      <c r="F19" s="1">
        <v>135320000000</v>
      </c>
    </row>
    <row r="20" spans="1:6">
      <c r="A20" t="s">
        <v>73</v>
      </c>
      <c r="C20" s="1">
        <v>67650000000</v>
      </c>
      <c r="D20" s="1">
        <v>67660000000</v>
      </c>
      <c r="E20" s="1">
        <v>67660000000</v>
      </c>
      <c r="F20" s="1">
        <v>135320000000</v>
      </c>
    </row>
    <row r="21" spans="1:6">
      <c r="A21" t="s">
        <v>74</v>
      </c>
      <c r="C21" s="1">
        <v>6106810000000</v>
      </c>
      <c r="D21" s="1">
        <v>7785500000000</v>
      </c>
      <c r="E21" s="1">
        <v>8301980000000</v>
      </c>
      <c r="F21" s="1">
        <v>9404930000000</v>
      </c>
    </row>
    <row r="22" spans="1:6">
      <c r="A22" t="s">
        <v>75</v>
      </c>
      <c r="C22" s="1">
        <v>3020190000000</v>
      </c>
      <c r="D22" s="1">
        <v>3828070000000</v>
      </c>
      <c r="E22" s="1">
        <v>4328310000000</v>
      </c>
      <c r="F22" s="1">
        <v>4867580000000</v>
      </c>
    </row>
    <row r="23" spans="1:6">
      <c r="A23" t="s">
        <v>76</v>
      </c>
      <c r="C23" s="1">
        <v>377920000000</v>
      </c>
      <c r="D23" s="1">
        <v>1137660000000</v>
      </c>
      <c r="E23" s="1">
        <v>1127520000000</v>
      </c>
      <c r="F23" s="1">
        <v>1100510000000</v>
      </c>
    </row>
    <row r="24" spans="1:6">
      <c r="A24" t="s">
        <v>77</v>
      </c>
      <c r="C24" s="1">
        <v>120240000000</v>
      </c>
      <c r="D24" s="1">
        <v>77040000000</v>
      </c>
      <c r="E24" s="1">
        <v>56670000000</v>
      </c>
      <c r="F24" s="1">
        <v>109090000000</v>
      </c>
    </row>
    <row r="25" spans="1:6">
      <c r="A25" t="s">
        <v>78</v>
      </c>
      <c r="C25" s="1">
        <v>496440000000</v>
      </c>
      <c r="D25" s="1">
        <v>603240000000</v>
      </c>
      <c r="E25" s="1">
        <v>722410000000</v>
      </c>
      <c r="F25" s="1">
        <v>834530000000</v>
      </c>
    </row>
    <row r="26" spans="1:6">
      <c r="A26" t="s">
        <v>79</v>
      </c>
      <c r="C26" s="1">
        <v>2007060000000</v>
      </c>
      <c r="D26" s="1">
        <v>1994060000000</v>
      </c>
      <c r="E26" s="1">
        <v>2401270000000</v>
      </c>
      <c r="F26" s="1">
        <v>2540410000000</v>
      </c>
    </row>
    <row r="27" spans="1:6">
      <c r="A27" t="s">
        <v>80</v>
      </c>
      <c r="C27" s="1">
        <v>130070000000</v>
      </c>
      <c r="D27" s="1">
        <v>162300000000</v>
      </c>
      <c r="E27" s="1">
        <v>174150000000</v>
      </c>
      <c r="F27" s="1">
        <v>171420000000</v>
      </c>
    </row>
    <row r="28" spans="1:6">
      <c r="A28" t="s">
        <v>81</v>
      </c>
      <c r="C28" s="1">
        <v>1876990000000</v>
      </c>
      <c r="D28" s="1">
        <v>1831760000000</v>
      </c>
      <c r="E28" s="1">
        <v>2227120000000</v>
      </c>
      <c r="F28" s="1">
        <v>2368990000000</v>
      </c>
    </row>
    <row r="29" spans="1:6">
      <c r="A29" t="s">
        <v>82</v>
      </c>
      <c r="C29" s="1">
        <v>18530000000</v>
      </c>
      <c r="D29" s="1">
        <v>16070000000</v>
      </c>
      <c r="E29" s="1">
        <v>20440000000</v>
      </c>
      <c r="F29" s="1">
        <v>283040000000</v>
      </c>
    </row>
    <row r="30" spans="1:6">
      <c r="A30" t="s">
        <v>83</v>
      </c>
      <c r="C30" s="1">
        <v>3086620000000</v>
      </c>
      <c r="D30" s="1">
        <v>3957430000000</v>
      </c>
      <c r="E30" s="1">
        <v>3973670000000</v>
      </c>
      <c r="F30" s="1">
        <v>4537370000000</v>
      </c>
    </row>
    <row r="31" spans="1:6">
      <c r="A31" t="s">
        <v>84</v>
      </c>
      <c r="C31" s="1">
        <v>215840000000</v>
      </c>
      <c r="D31" s="1">
        <v>20000000</v>
      </c>
      <c r="E31" s="1">
        <v>20000000</v>
      </c>
      <c r="F31" s="1">
        <v>20000000</v>
      </c>
    </row>
    <row r="32" spans="1:6">
      <c r="A32" t="s">
        <v>85</v>
      </c>
      <c r="C32" s="1">
        <v>812680000000</v>
      </c>
      <c r="D32" s="1">
        <v>1349860000000</v>
      </c>
      <c r="E32" s="1">
        <v>1060150000000</v>
      </c>
      <c r="F32" s="1">
        <v>1155340000000</v>
      </c>
    </row>
    <row r="33" spans="1:6">
      <c r="A33" t="s">
        <v>86</v>
      </c>
      <c r="C33" s="1">
        <v>26620000000</v>
      </c>
      <c r="D33" s="1">
        <v>41960000000</v>
      </c>
      <c r="E33" s="1">
        <v>41050000000</v>
      </c>
      <c r="F33" s="1">
        <v>49030000000</v>
      </c>
    </row>
    <row r="34" spans="1:6">
      <c r="A34" t="s">
        <v>87</v>
      </c>
      <c r="C34" s="1">
        <v>786060000000</v>
      </c>
      <c r="D34" s="1">
        <v>1307900000000</v>
      </c>
      <c r="E34" s="1">
        <v>1019100000000</v>
      </c>
      <c r="F34" s="1">
        <v>1106310000000</v>
      </c>
    </row>
    <row r="35" spans="1:6">
      <c r="A35" t="s">
        <v>88</v>
      </c>
      <c r="C35" s="1">
        <v>19360000000</v>
      </c>
      <c r="D35" s="1">
        <v>21780000000</v>
      </c>
      <c r="E35" s="1">
        <v>21750000000</v>
      </c>
      <c r="F35" s="1">
        <v>41470000000</v>
      </c>
    </row>
    <row r="36" spans="1:6">
      <c r="A36" t="s">
        <v>89</v>
      </c>
      <c r="C36" s="1">
        <v>2232840000000</v>
      </c>
      <c r="D36" s="1">
        <v>2353090000000</v>
      </c>
      <c r="E36" s="1">
        <v>2613090000000</v>
      </c>
      <c r="F36" s="1">
        <v>2710490000000</v>
      </c>
    </row>
    <row r="37" spans="1:6">
      <c r="A37" t="s">
        <v>90</v>
      </c>
      <c r="C37" s="1">
        <v>637520000000</v>
      </c>
      <c r="D37" s="1">
        <v>879500000000</v>
      </c>
      <c r="E37" s="1">
        <v>827620000000</v>
      </c>
      <c r="F37" s="1">
        <v>840910000000</v>
      </c>
    </row>
    <row r="38" spans="1:6">
      <c r="A38" t="s">
        <v>91</v>
      </c>
      <c r="B38" s="1">
        <v>2080000000</v>
      </c>
      <c r="C38" s="1">
        <v>2020000000</v>
      </c>
      <c r="D38" s="1">
        <v>1870000000</v>
      </c>
      <c r="E38" s="1">
        <v>1700000000</v>
      </c>
    </row>
    <row r="39" spans="1:6">
      <c r="A39" t="s">
        <v>92</v>
      </c>
      <c r="C39" s="1">
        <v>1593300000000</v>
      </c>
      <c r="D39" s="1">
        <v>1471720000000</v>
      </c>
      <c r="E39" s="1">
        <v>1783770000000</v>
      </c>
      <c r="F39" s="1">
        <v>1867890000000</v>
      </c>
    </row>
    <row r="40" spans="1:6">
      <c r="A40" t="s">
        <v>93</v>
      </c>
      <c r="C40" s="1">
        <v>14996650000000</v>
      </c>
      <c r="D40" s="1">
        <v>16074310000000</v>
      </c>
      <c r="E40" s="1">
        <v>17559860000000</v>
      </c>
      <c r="F40" s="1">
        <v>19501210000000</v>
      </c>
    </row>
    <row r="41" spans="1:6">
      <c r="A41" t="s">
        <v>94</v>
      </c>
      <c r="C41" s="1">
        <v>11526460000000</v>
      </c>
      <c r="D41" s="1">
        <v>11821350000000</v>
      </c>
      <c r="E41" s="1">
        <v>12858860000000</v>
      </c>
      <c r="F41" s="1">
        <v>14508510000000</v>
      </c>
    </row>
    <row r="42" spans="1:6">
      <c r="A42" t="s">
        <v>95</v>
      </c>
      <c r="C42" s="1">
        <v>433700000000</v>
      </c>
      <c r="D42" s="1">
        <v>257830000000</v>
      </c>
      <c r="E42" s="1">
        <v>267840000000</v>
      </c>
      <c r="F42" s="1">
        <v>371970000000</v>
      </c>
    </row>
    <row r="43" spans="1:6">
      <c r="A43" t="s">
        <v>96</v>
      </c>
      <c r="C43" s="1">
        <v>96260000000</v>
      </c>
      <c r="D43" s="1">
        <v>83900000000</v>
      </c>
      <c r="E43" s="1">
        <v>77640000000</v>
      </c>
      <c r="F43" s="1">
        <v>123540000000</v>
      </c>
    </row>
    <row r="44" spans="1:6">
      <c r="A44" t="s">
        <v>97</v>
      </c>
      <c r="C44" s="1">
        <v>10430000000</v>
      </c>
      <c r="D44" s="1">
        <v>15490000000</v>
      </c>
      <c r="E44" s="1">
        <v>9380000000</v>
      </c>
      <c r="F44" s="1">
        <v>4080000000</v>
      </c>
    </row>
    <row r="45" spans="1:6">
      <c r="A45" t="s">
        <v>98</v>
      </c>
      <c r="C45" s="1">
        <v>1795940000000</v>
      </c>
      <c r="D45" s="1">
        <v>1054600000000</v>
      </c>
      <c r="E45" s="1">
        <v>1035610000000</v>
      </c>
      <c r="F45" s="1">
        <v>1135860000000</v>
      </c>
    </row>
    <row r="46" spans="1:6">
      <c r="A46" t="s">
        <v>99</v>
      </c>
      <c r="C46" s="1">
        <v>1746820000000</v>
      </c>
      <c r="D46" s="1">
        <v>1002500000000</v>
      </c>
      <c r="E46" s="1">
        <v>980240000000</v>
      </c>
      <c r="F46" s="1">
        <v>1029840000000</v>
      </c>
    </row>
    <row r="47" spans="1:6">
      <c r="A47" t="s">
        <v>100</v>
      </c>
      <c r="C47" s="1">
        <v>49120000000</v>
      </c>
      <c r="D47" s="1">
        <v>52100000000</v>
      </c>
      <c r="E47" s="1">
        <v>55370000000</v>
      </c>
      <c r="F47" s="1">
        <v>106020000000</v>
      </c>
    </row>
    <row r="48" spans="1:6">
      <c r="A48" t="s">
        <v>101</v>
      </c>
      <c r="C48" s="1">
        <v>1084090000000</v>
      </c>
      <c r="D48" s="1">
        <v>136460000000</v>
      </c>
      <c r="E48" s="1">
        <v>180730000000</v>
      </c>
      <c r="F48" s="1">
        <v>156830000000</v>
      </c>
    </row>
    <row r="49" spans="1:6">
      <c r="A49" t="s">
        <v>102</v>
      </c>
      <c r="C49" s="1">
        <v>26330000000</v>
      </c>
      <c r="D49" s="1">
        <v>62110000000</v>
      </c>
      <c r="E49" s="1">
        <v>101410000000</v>
      </c>
      <c r="F49" s="1">
        <v>90670000000</v>
      </c>
    </row>
    <row r="50" spans="1:6">
      <c r="A50" t="s">
        <v>103</v>
      </c>
      <c r="C50" s="1">
        <v>1057760000000</v>
      </c>
      <c r="D50" s="1">
        <v>74350000000</v>
      </c>
      <c r="E50" s="1">
        <v>79320000000</v>
      </c>
      <c r="F50" s="1">
        <v>66160000000</v>
      </c>
    </row>
    <row r="51" spans="1:6">
      <c r="A51" t="s">
        <v>104</v>
      </c>
      <c r="C51" s="1">
        <v>2317980000000</v>
      </c>
      <c r="D51" s="1">
        <v>3307950000000</v>
      </c>
      <c r="E51" s="1">
        <v>3603740000000</v>
      </c>
      <c r="F51" s="1">
        <v>4089390000000</v>
      </c>
    </row>
    <row r="52" spans="1:6">
      <c r="A52" t="s">
        <v>105</v>
      </c>
      <c r="C52" s="1">
        <v>2187890000000</v>
      </c>
      <c r="D52" s="1">
        <v>3155250000000</v>
      </c>
      <c r="E52" s="1">
        <v>3453850000000</v>
      </c>
      <c r="F52" s="1">
        <v>3844090000000</v>
      </c>
    </row>
    <row r="53" spans="1:6">
      <c r="A53" t="s">
        <v>106</v>
      </c>
      <c r="C53" s="1">
        <v>130090000000</v>
      </c>
      <c r="D53" s="1">
        <v>152700000000</v>
      </c>
      <c r="E53" s="1">
        <v>149890000000</v>
      </c>
      <c r="F53" s="1">
        <v>245300000000</v>
      </c>
    </row>
    <row r="54" spans="1:6">
      <c r="A54" t="s">
        <v>107</v>
      </c>
      <c r="C54" s="1">
        <v>5772180000000</v>
      </c>
      <c r="D54" s="1">
        <v>6949870000000</v>
      </c>
      <c r="E54" s="1">
        <v>7674930000000</v>
      </c>
      <c r="F54" s="1">
        <v>8619420000000</v>
      </c>
    </row>
    <row r="55" spans="1:6">
      <c r="A55" t="s">
        <v>108</v>
      </c>
      <c r="C55" s="1">
        <v>-1964830000000</v>
      </c>
      <c r="D55" s="1">
        <v>-2240410000000</v>
      </c>
      <c r="E55" s="1">
        <v>-2499930000000</v>
      </c>
      <c r="F55" s="1">
        <v>-2821570000000</v>
      </c>
    </row>
    <row r="56" spans="1:6">
      <c r="A56" t="s">
        <v>109</v>
      </c>
      <c r="C56" s="1">
        <v>7737010000000</v>
      </c>
      <c r="D56" s="1">
        <v>9190280000000</v>
      </c>
      <c r="E56" s="1">
        <v>10174860000000</v>
      </c>
      <c r="F56" s="1">
        <v>8528120000000</v>
      </c>
    </row>
    <row r="57" spans="1:6">
      <c r="A57" t="s">
        <v>110</v>
      </c>
      <c r="C57" s="1">
        <v>767640000000</v>
      </c>
      <c r="D57" s="1">
        <v>1244840000000</v>
      </c>
      <c r="E57" s="1">
        <v>1614090000000</v>
      </c>
      <c r="F57" s="1">
        <v>1788400000000</v>
      </c>
    </row>
    <row r="58" spans="1:6">
      <c r="A58" t="s">
        <v>111</v>
      </c>
      <c r="C58" s="1">
        <v>511490000000</v>
      </c>
      <c r="D58" s="1">
        <v>707440000000</v>
      </c>
      <c r="E58" s="1">
        <v>887600000000</v>
      </c>
      <c r="F58" s="1">
        <v>952830000000</v>
      </c>
    </row>
    <row r="59" spans="1:6">
      <c r="A59" t="s">
        <v>112</v>
      </c>
      <c r="C59" s="1">
        <v>5283720000000</v>
      </c>
      <c r="D59" s="1">
        <v>5743560000000</v>
      </c>
      <c r="E59" s="1">
        <v>5979680000000</v>
      </c>
      <c r="F59" s="1">
        <v>6615370000000</v>
      </c>
    </row>
    <row r="60" spans="1:6">
      <c r="A60" t="s">
        <v>113</v>
      </c>
      <c r="C60" s="1">
        <v>475610000000</v>
      </c>
      <c r="D60" s="1">
        <v>697470000000</v>
      </c>
      <c r="E60" s="1">
        <v>820620000000</v>
      </c>
      <c r="F60" s="1">
        <v>1063510000000</v>
      </c>
    </row>
    <row r="61" spans="1:6">
      <c r="A61" t="s">
        <v>114</v>
      </c>
      <c r="C61" s="1">
        <v>698550000000</v>
      </c>
      <c r="D61" s="1">
        <v>796970000000</v>
      </c>
      <c r="E61" s="1">
        <v>872870000000</v>
      </c>
      <c r="F61" s="1">
        <v>1020880000000</v>
      </c>
    </row>
    <row r="62" spans="1:6">
      <c r="A62" t="s">
        <v>115</v>
      </c>
      <c r="C62" s="1">
        <v>0</v>
      </c>
      <c r="D62" s="1">
        <v>0</v>
      </c>
      <c r="E62" s="1">
        <v>0</v>
      </c>
      <c r="F62" s="1">
        <v>0</v>
      </c>
    </row>
    <row r="63" spans="1:6">
      <c r="A63" t="s">
        <v>116</v>
      </c>
      <c r="C63" s="1">
        <v>3470190000000</v>
      </c>
      <c r="D63" s="1">
        <v>4252960000000</v>
      </c>
      <c r="E63" s="1">
        <v>4701000000000</v>
      </c>
      <c r="F63" s="1">
        <v>4992700000000</v>
      </c>
    </row>
    <row r="64" spans="1:6">
      <c r="A64" t="s">
        <v>117</v>
      </c>
      <c r="C64" s="1">
        <v>159370000000</v>
      </c>
      <c r="D64" s="1">
        <v>120840000000</v>
      </c>
      <c r="E64" s="1">
        <v>146510000000</v>
      </c>
      <c r="F64" s="1">
        <v>200690000000</v>
      </c>
    </row>
    <row r="65" spans="1:6">
      <c r="A65" t="s">
        <v>118</v>
      </c>
      <c r="C65" s="1">
        <v>26690000000</v>
      </c>
      <c r="D65" s="1">
        <v>345080000000</v>
      </c>
      <c r="E65" s="1">
        <v>36850000000</v>
      </c>
      <c r="F65" s="1">
        <v>58570000000</v>
      </c>
    </row>
    <row r="66" spans="1:6">
      <c r="A66" t="s">
        <v>119</v>
      </c>
      <c r="C66" s="1">
        <v>439650000000</v>
      </c>
      <c r="D66" s="1">
        <v>488390000000</v>
      </c>
      <c r="E66" s="1">
        <v>535390000000</v>
      </c>
      <c r="F66" s="1">
        <v>411870000000</v>
      </c>
    </row>
    <row r="67" spans="1:6">
      <c r="A67" t="s">
        <v>120</v>
      </c>
      <c r="C67" s="1">
        <v>1077780000000</v>
      </c>
      <c r="D67" s="1">
        <v>1400080000000</v>
      </c>
      <c r="E67" s="1">
        <v>1527700000000</v>
      </c>
      <c r="F67" s="1">
        <v>1460620000000</v>
      </c>
    </row>
    <row r="68" spans="1:6">
      <c r="A68" t="s">
        <v>121</v>
      </c>
      <c r="C68" s="1">
        <v>26810000000</v>
      </c>
      <c r="D68" s="1">
        <v>58910000000</v>
      </c>
      <c r="E68" s="1">
        <v>102100000000</v>
      </c>
      <c r="F68" s="1">
        <v>117280000000</v>
      </c>
    </row>
    <row r="69" spans="1:6">
      <c r="A69" t="s">
        <v>122</v>
      </c>
      <c r="C69" s="1">
        <v>412700000000</v>
      </c>
      <c r="D69" s="1">
        <v>545390000000</v>
      </c>
      <c r="E69" s="1">
        <v>528000000000</v>
      </c>
      <c r="F69" s="1">
        <v>503050000000</v>
      </c>
    </row>
    <row r="70" spans="1:6">
      <c r="A70" t="s">
        <v>123</v>
      </c>
      <c r="C70" s="1">
        <v>339850000000</v>
      </c>
      <c r="D70" s="1">
        <v>512820000000</v>
      </c>
      <c r="E70" s="1">
        <v>589360000000</v>
      </c>
      <c r="F70" s="1">
        <v>601890000000</v>
      </c>
    </row>
    <row r="71" spans="1:6">
      <c r="A71" t="s">
        <v>124</v>
      </c>
      <c r="C71" s="1">
        <v>298420000000</v>
      </c>
      <c r="D71" s="1">
        <v>282960000000</v>
      </c>
      <c r="E71" s="1">
        <v>308240000000</v>
      </c>
      <c r="F71" s="1">
        <v>238400000000</v>
      </c>
    </row>
    <row r="72" spans="1:6">
      <c r="A72" t="s">
        <v>125</v>
      </c>
      <c r="C72" s="1">
        <v>1300000000</v>
      </c>
      <c r="D72" s="1">
        <v>1760000000</v>
      </c>
      <c r="E72" s="1">
        <v>25170000000</v>
      </c>
      <c r="F72" s="1">
        <v>51820000000</v>
      </c>
    </row>
    <row r="73" spans="1:6">
      <c r="A73" t="s">
        <v>126</v>
      </c>
      <c r="C73" s="1">
        <v>236400000000</v>
      </c>
      <c r="D73" s="1">
        <v>284480000000</v>
      </c>
      <c r="E73" s="1">
        <v>316280000000</v>
      </c>
      <c r="F73" s="1">
        <v>421210000000</v>
      </c>
    </row>
    <row r="74" spans="1:6">
      <c r="A74" t="s">
        <v>127</v>
      </c>
      <c r="C74" s="1">
        <v>1529000000000</v>
      </c>
      <c r="D74" s="1">
        <v>1612330000000</v>
      </c>
      <c r="E74" s="1">
        <v>2113100000000</v>
      </c>
      <c r="F74" s="1">
        <v>2387920000000</v>
      </c>
    </row>
    <row r="75" spans="1:6">
      <c r="A75" t="s">
        <v>128</v>
      </c>
      <c r="C75" s="1">
        <v>1193910000000</v>
      </c>
      <c r="D75" s="1">
        <v>1270770000000</v>
      </c>
      <c r="E75" s="1">
        <v>1177700000000</v>
      </c>
      <c r="F75" s="1">
        <v>1381470000000</v>
      </c>
    </row>
    <row r="76" spans="1:6">
      <c r="A76" t="s">
        <v>129</v>
      </c>
      <c r="C76" s="1">
        <v>335090000000</v>
      </c>
      <c r="D76" s="1">
        <v>341560000000</v>
      </c>
      <c r="E76" s="1">
        <v>935400000000</v>
      </c>
      <c r="F76" s="1">
        <v>1006450000000</v>
      </c>
    </row>
    <row r="77" spans="1:6">
      <c r="A77" t="s">
        <v>130</v>
      </c>
      <c r="C77" s="1">
        <v>246890000000</v>
      </c>
      <c r="D77" s="1">
        <v>301840000000</v>
      </c>
      <c r="E77" s="1">
        <v>195280000000</v>
      </c>
      <c r="F77" s="1">
        <v>541600000000</v>
      </c>
    </row>
    <row r="78" spans="1:6">
      <c r="A78" t="s">
        <v>131</v>
      </c>
      <c r="C78" s="1">
        <v>88200000000</v>
      </c>
      <c r="D78" s="1">
        <v>39720000000</v>
      </c>
      <c r="E78" s="1">
        <v>740120000000</v>
      </c>
      <c r="F78" s="1">
        <v>464850000000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6" width="18.7109375" style="1" customWidth="1"/>
  </cols>
  <sheetData>
    <row r="1" spans="1:6">
      <c r="B1" s="2" t="s">
        <v>50</v>
      </c>
      <c r="C1" s="2" t="s">
        <v>51</v>
      </c>
      <c r="D1" s="2" t="s">
        <v>52</v>
      </c>
      <c r="E1" s="2" t="s">
        <v>53</v>
      </c>
      <c r="F1" s="2" t="s">
        <v>54</v>
      </c>
    </row>
    <row r="2" spans="1:6">
      <c r="A2" t="s">
        <v>132</v>
      </c>
      <c r="C2" s="1">
        <v>105090000000</v>
      </c>
      <c r="D2" s="1">
        <v>-259560000000</v>
      </c>
      <c r="E2" s="1">
        <v>59050000000</v>
      </c>
      <c r="F2" s="1">
        <v>387360000000</v>
      </c>
    </row>
    <row r="3" spans="1:6">
      <c r="A3" t="s">
        <v>133</v>
      </c>
      <c r="C3" s="1">
        <v>-406470000000</v>
      </c>
      <c r="D3" s="1">
        <v>-290590000000</v>
      </c>
      <c r="E3" s="1">
        <v>-350550000000</v>
      </c>
      <c r="F3" s="1">
        <v>-317550000000</v>
      </c>
    </row>
    <row r="4" spans="1:6">
      <c r="A4" t="s">
        <v>134</v>
      </c>
      <c r="C4" s="1">
        <v>593430000000</v>
      </c>
      <c r="D4" s="1">
        <v>359360000000</v>
      </c>
      <c r="E4" s="1">
        <v>696100000000</v>
      </c>
      <c r="F4" s="1">
        <v>263780000000</v>
      </c>
    </row>
    <row r="5" spans="1:6">
      <c r="A5" t="s">
        <v>135</v>
      </c>
      <c r="C5" s="1">
        <v>397670000000</v>
      </c>
      <c r="D5" s="1">
        <v>400000000</v>
      </c>
      <c r="E5" s="1">
        <v>70000000</v>
      </c>
      <c r="F5" s="1">
        <v>220000000</v>
      </c>
    </row>
    <row r="6" spans="1:6">
      <c r="A6" t="s">
        <v>136</v>
      </c>
      <c r="C6" s="1">
        <v>-1001450000000</v>
      </c>
      <c r="D6" s="1">
        <v>-1409880000000</v>
      </c>
      <c r="E6" s="1">
        <v>-1528830000000</v>
      </c>
      <c r="F6" s="1">
        <v>-1399670000000</v>
      </c>
    </row>
    <row r="7" spans="1:6">
      <c r="A7" t="s">
        <v>137</v>
      </c>
      <c r="C7" s="1">
        <v>361780000000</v>
      </c>
      <c r="D7" s="1">
        <v>686640000000</v>
      </c>
      <c r="E7" s="1">
        <v>972250000000</v>
      </c>
      <c r="F7" s="1">
        <v>1065020000000</v>
      </c>
    </row>
    <row r="8" spans="1:6">
      <c r="A8" t="s">
        <v>138</v>
      </c>
      <c r="B8" s="1">
        <v>240000000</v>
      </c>
      <c r="C8" s="1">
        <v>9410000000</v>
      </c>
      <c r="D8" s="1">
        <v>-17660000000</v>
      </c>
      <c r="E8" s="1">
        <v>7200000000</v>
      </c>
    </row>
    <row r="9" spans="1:6">
      <c r="A9" t="s">
        <v>139</v>
      </c>
      <c r="C9" s="1">
        <v>173970000000</v>
      </c>
      <c r="D9" s="1">
        <v>361780000000</v>
      </c>
      <c r="E9" s="1">
        <v>686640000000</v>
      </c>
      <c r="F9" s="1">
        <v>972250000000</v>
      </c>
    </row>
    <row r="10" spans="1:6">
      <c r="A10" t="s">
        <v>140</v>
      </c>
      <c r="C10" s="1">
        <v>178400000000</v>
      </c>
      <c r="D10" s="1">
        <v>342520000000</v>
      </c>
      <c r="E10" s="1">
        <v>285610000000</v>
      </c>
      <c r="F10" s="1">
        <v>92770000000</v>
      </c>
    </row>
    <row r="11" spans="1:6">
      <c r="A11" t="s">
        <v>141</v>
      </c>
      <c r="C11" s="1">
        <v>172890000000</v>
      </c>
      <c r="D11" s="1">
        <v>104550000000</v>
      </c>
      <c r="E11" s="1">
        <v>-166460000000</v>
      </c>
      <c r="F11" s="1">
        <v>-318910000000</v>
      </c>
    </row>
    <row r="12" spans="1:6">
      <c r="A12" t="s">
        <v>142</v>
      </c>
      <c r="B12" s="1">
        <v>1956820000000</v>
      </c>
      <c r="C12" s="1">
        <v>4500000000</v>
      </c>
      <c r="D12" s="1">
        <v>4790000000</v>
      </c>
      <c r="E12" s="1">
        <v>198300000000</v>
      </c>
    </row>
    <row r="13" spans="1:6">
      <c r="A13" t="s">
        <v>143</v>
      </c>
      <c r="C13" s="1">
        <v>-263490000000</v>
      </c>
      <c r="D13" s="1">
        <v>-216500000000</v>
      </c>
      <c r="E13" s="1">
        <v>-371730000000</v>
      </c>
      <c r="F13" s="1">
        <v>-410240000000</v>
      </c>
    </row>
    <row r="14" spans="1:6">
      <c r="A14" t="s">
        <v>144</v>
      </c>
      <c r="C14" s="1">
        <v>-42970000000</v>
      </c>
      <c r="D14" s="1">
        <v>-50830000000</v>
      </c>
      <c r="E14" s="1">
        <v>-60890000000</v>
      </c>
      <c r="F14" s="1">
        <v>-67660000000</v>
      </c>
    </row>
    <row r="15" spans="1:6">
      <c r="A15" t="s">
        <v>145</v>
      </c>
      <c r="C15" s="1">
        <v>397670000000</v>
      </c>
      <c r="D15" s="1">
        <v>400000000</v>
      </c>
      <c r="E15" s="1">
        <v>70000000</v>
      </c>
      <c r="F15" s="1">
        <v>220000000</v>
      </c>
    </row>
    <row r="16" spans="1:6">
      <c r="A16" t="s">
        <v>146</v>
      </c>
      <c r="C16" s="1">
        <v>397670000000</v>
      </c>
      <c r="D16" s="1">
        <v>400000000</v>
      </c>
      <c r="E16" s="1">
        <v>70000000</v>
      </c>
      <c r="F16" s="1">
        <v>220000000</v>
      </c>
    </row>
    <row r="17" spans="1:6">
      <c r="A17" t="s">
        <v>147</v>
      </c>
      <c r="C17" s="1">
        <v>98500000000</v>
      </c>
      <c r="D17" s="1">
        <v>380750000000</v>
      </c>
      <c r="E17" s="1">
        <v>92620000000</v>
      </c>
      <c r="F17" s="1">
        <v>192470000000</v>
      </c>
    </row>
    <row r="18" spans="1:6">
      <c r="A18" t="s">
        <v>148</v>
      </c>
      <c r="C18" s="1">
        <v>-88460000000</v>
      </c>
      <c r="D18" s="1">
        <v>311980000000</v>
      </c>
      <c r="E18" s="1">
        <v>-252930000000</v>
      </c>
      <c r="F18" s="1">
        <v>246240000000</v>
      </c>
    </row>
    <row r="19" spans="1:6">
      <c r="A19" t="s">
        <v>149</v>
      </c>
      <c r="C19" s="1">
        <v>186960000000</v>
      </c>
      <c r="D19" s="1">
        <v>68770000000</v>
      </c>
      <c r="E19" s="1">
        <v>345550000000</v>
      </c>
      <c r="F19" s="1">
        <v>-53770000000</v>
      </c>
    </row>
    <row r="20" spans="1:6">
      <c r="A20" t="s">
        <v>150</v>
      </c>
      <c r="C20" s="1">
        <v>-406470000000</v>
      </c>
      <c r="D20" s="1">
        <v>-290590000000</v>
      </c>
      <c r="E20" s="1">
        <v>-350550000000</v>
      </c>
      <c r="F20" s="1">
        <v>-317550000000</v>
      </c>
    </row>
    <row r="21" spans="1:6">
      <c r="A21" t="s">
        <v>151</v>
      </c>
      <c r="C21" s="1">
        <v>593430000000</v>
      </c>
      <c r="D21" s="1">
        <v>359360000000</v>
      </c>
      <c r="E21" s="1">
        <v>696100000000</v>
      </c>
      <c r="F21" s="1">
        <v>263780000000</v>
      </c>
    </row>
    <row r="22" spans="1:6">
      <c r="A22" t="s">
        <v>152</v>
      </c>
      <c r="C22" s="1">
        <v>-1101030000000</v>
      </c>
      <c r="D22" s="1">
        <v>-912350000000</v>
      </c>
      <c r="E22" s="1">
        <v>-1135810000000</v>
      </c>
      <c r="F22" s="1">
        <v>-1375350000000</v>
      </c>
    </row>
    <row r="23" spans="1:6">
      <c r="A23" t="s">
        <v>153</v>
      </c>
      <c r="B23" s="1">
        <v>-20000000</v>
      </c>
      <c r="C23" s="1">
        <v>-193060000000</v>
      </c>
      <c r="E23" s="1">
        <v>-44230000000</v>
      </c>
      <c r="F23" s="1">
        <v>-45740000000</v>
      </c>
    </row>
    <row r="24" spans="1:6">
      <c r="A24" t="s">
        <v>154</v>
      </c>
      <c r="C24" s="1">
        <v>59330000000</v>
      </c>
      <c r="D24" s="1">
        <v>111030000000</v>
      </c>
      <c r="E24" s="1">
        <v>106480000000</v>
      </c>
      <c r="F24" s="1">
        <v>158330000000</v>
      </c>
    </row>
    <row r="25" spans="1:6">
      <c r="A25" t="s">
        <v>155</v>
      </c>
      <c r="C25" s="1">
        <v>190000000</v>
      </c>
      <c r="D25" s="1">
        <v>200000000</v>
      </c>
      <c r="E25" s="1">
        <v>750000000</v>
      </c>
      <c r="F25" s="1">
        <v>6120000000</v>
      </c>
    </row>
    <row r="26" spans="1:6">
      <c r="A26" t="s">
        <v>156</v>
      </c>
      <c r="C26" s="1">
        <v>2590000000</v>
      </c>
      <c r="D26" s="1">
        <v>294440000000</v>
      </c>
      <c r="E26" s="1">
        <v>176950000000</v>
      </c>
      <c r="F26" s="1">
        <v>-117820000000</v>
      </c>
    </row>
    <row r="27" spans="1:6">
      <c r="A27" t="s">
        <v>157</v>
      </c>
      <c r="C27" s="1">
        <v>6681370000000</v>
      </c>
      <c r="D27" s="1">
        <v>5012660000000</v>
      </c>
      <c r="E27" s="1">
        <v>5313550000000</v>
      </c>
      <c r="F27" s="1">
        <v>6725580000000</v>
      </c>
    </row>
    <row r="28" spans="1:6">
      <c r="A28" t="s">
        <v>158</v>
      </c>
      <c r="C28" s="1">
        <v>-6678780000000</v>
      </c>
      <c r="D28" s="1">
        <v>-4718220000000</v>
      </c>
      <c r="E28" s="1">
        <v>-5136600000000</v>
      </c>
      <c r="F28" s="1">
        <v>-6843400000000</v>
      </c>
    </row>
    <row r="29" spans="1:6">
      <c r="A29" t="s">
        <v>159</v>
      </c>
      <c r="C29" s="1">
        <v>31370000000</v>
      </c>
      <c r="D29" s="1">
        <v>91860000000</v>
      </c>
      <c r="E29" s="1">
        <v>153070000000</v>
      </c>
      <c r="F29" s="1">
        <v>23430000000</v>
      </c>
    </row>
    <row r="30" spans="1:6">
      <c r="A30" t="s">
        <v>160</v>
      </c>
      <c r="C30" s="1">
        <v>31370000000</v>
      </c>
      <c r="D30" s="1">
        <v>91860000000</v>
      </c>
      <c r="E30" s="1">
        <v>153070000000</v>
      </c>
      <c r="F30" s="1">
        <v>23430000000</v>
      </c>
    </row>
    <row r="31" spans="1:6">
      <c r="A31" t="s">
        <v>161</v>
      </c>
      <c r="B31" s="1">
        <v>-1058370000000</v>
      </c>
      <c r="C31" s="1">
        <v>-1001450000000</v>
      </c>
    </row>
    <row r="32" spans="1:6">
      <c r="A32" t="s">
        <v>162</v>
      </c>
      <c r="C32" s="1">
        <v>-1001450000000</v>
      </c>
      <c r="D32" s="1">
        <v>-1409880000000</v>
      </c>
      <c r="E32" s="1">
        <v>-1528830000000</v>
      </c>
      <c r="F32" s="1">
        <v>-1399670000000</v>
      </c>
    </row>
    <row r="33" spans="1:6">
      <c r="A33" t="s">
        <v>163</v>
      </c>
      <c r="C33" s="1">
        <v>1106540000000</v>
      </c>
      <c r="D33" s="1">
        <v>1150320000000</v>
      </c>
      <c r="E33" s="1">
        <v>1587880000000</v>
      </c>
      <c r="F33" s="1">
        <v>1787030000000</v>
      </c>
    </row>
    <row r="34" spans="1:6">
      <c r="A34" t="s">
        <v>164</v>
      </c>
      <c r="C34" s="1">
        <v>-37970000000</v>
      </c>
      <c r="D34" s="1">
        <v>-62970000000</v>
      </c>
      <c r="E34" s="1">
        <v>-119610000000</v>
      </c>
      <c r="F34" s="1">
        <v>-119250000000</v>
      </c>
    </row>
    <row r="35" spans="1:6">
      <c r="A35" t="s">
        <v>165</v>
      </c>
      <c r="C35" s="1">
        <v>7250000000</v>
      </c>
      <c r="D35" s="1">
        <v>-196340000000</v>
      </c>
      <c r="E35" s="1">
        <v>63660000000</v>
      </c>
      <c r="F35" s="1">
        <v>237240000000</v>
      </c>
    </row>
    <row r="36" spans="1:6">
      <c r="A36" t="s">
        <v>166</v>
      </c>
      <c r="C36" s="1">
        <v>398880000000</v>
      </c>
      <c r="D36" s="1">
        <v>-6000000000</v>
      </c>
      <c r="E36" s="1">
        <v>347960000000</v>
      </c>
      <c r="F36" s="1">
        <v>384270000000</v>
      </c>
    </row>
    <row r="37" spans="1:6">
      <c r="A37" t="s">
        <v>167</v>
      </c>
      <c r="C37" s="1">
        <v>-249830000000</v>
      </c>
      <c r="D37" s="1">
        <v>-322280000000</v>
      </c>
      <c r="E37" s="1">
        <v>-127560000000</v>
      </c>
      <c r="F37" s="1">
        <v>31340000000</v>
      </c>
    </row>
    <row r="38" spans="1:6">
      <c r="A38" t="s">
        <v>168</v>
      </c>
      <c r="C38" s="1">
        <v>-141800000000</v>
      </c>
      <c r="D38" s="1">
        <v>131940000000</v>
      </c>
      <c r="E38" s="1">
        <v>-156740000000</v>
      </c>
      <c r="F38" s="1">
        <v>-178370000000</v>
      </c>
    </row>
    <row r="39" spans="1:6">
      <c r="A39" t="s">
        <v>169</v>
      </c>
      <c r="C39" s="1">
        <v>23360000000</v>
      </c>
      <c r="D39" s="1">
        <v>79580000000</v>
      </c>
      <c r="E39" s="1">
        <v>111900000000</v>
      </c>
      <c r="F39" s="1">
        <v>100010000000</v>
      </c>
    </row>
    <row r="40" spans="1:6">
      <c r="A40" t="s">
        <v>170</v>
      </c>
      <c r="B40" s="1">
        <v>530000000</v>
      </c>
      <c r="C40" s="1">
        <v>360000000</v>
      </c>
      <c r="D40" s="1">
        <v>0</v>
      </c>
    </row>
    <row r="41" spans="1:6">
      <c r="A41" t="s">
        <v>171</v>
      </c>
      <c r="B41" s="1">
        <v>-155700000000</v>
      </c>
      <c r="C41" s="1">
        <v>0</v>
      </c>
    </row>
    <row r="42" spans="1:6">
      <c r="A42" t="s">
        <v>172</v>
      </c>
      <c r="C42" s="1">
        <v>297820000000</v>
      </c>
      <c r="D42" s="1">
        <v>403030000000</v>
      </c>
      <c r="E42" s="1">
        <v>508320000000</v>
      </c>
      <c r="F42" s="1">
        <v>531360000000</v>
      </c>
    </row>
    <row r="43" spans="1:6">
      <c r="A43" t="s">
        <v>173</v>
      </c>
      <c r="C43" s="1">
        <v>297820000000</v>
      </c>
      <c r="D43" s="1">
        <v>403030000000</v>
      </c>
      <c r="E43" s="1">
        <v>508320000000</v>
      </c>
      <c r="F43" s="1">
        <v>531360000000</v>
      </c>
    </row>
    <row r="44" spans="1:6">
      <c r="A44" t="s">
        <v>174</v>
      </c>
      <c r="C44" s="1">
        <v>-13930000000</v>
      </c>
      <c r="D44" s="1">
        <v>11760000000</v>
      </c>
      <c r="E44" s="1">
        <v>-20100000000</v>
      </c>
      <c r="F44" s="1">
        <v>-20610000000</v>
      </c>
    </row>
    <row r="45" spans="1:6">
      <c r="A45" t="s">
        <v>175</v>
      </c>
      <c r="C45" s="1">
        <v>19500000000</v>
      </c>
      <c r="D45" s="1">
        <v>-31910000000</v>
      </c>
      <c r="E45" s="1">
        <v>-1470000000</v>
      </c>
      <c r="F45" s="1">
        <v>-3240000000</v>
      </c>
    </row>
    <row r="46" spans="1:6">
      <c r="A46" t="s">
        <v>176</v>
      </c>
      <c r="C46" s="1">
        <v>400000000</v>
      </c>
      <c r="D46" s="1">
        <v>-600000000</v>
      </c>
      <c r="E46" s="1">
        <v>1780000000</v>
      </c>
      <c r="F46" s="1">
        <v>1350000000</v>
      </c>
    </row>
    <row r="47" spans="1:6">
      <c r="A47" t="s">
        <v>177</v>
      </c>
      <c r="B47" s="1">
        <v>-8500000000</v>
      </c>
      <c r="C47" s="1">
        <v>-28720000000</v>
      </c>
      <c r="D47" s="1">
        <v>0</v>
      </c>
    </row>
    <row r="48" spans="1:6">
      <c r="A48" t="s">
        <v>178</v>
      </c>
      <c r="C48" s="1">
        <v>841420000000</v>
      </c>
      <c r="D48" s="1">
        <v>948010000000</v>
      </c>
      <c r="E48" s="1">
        <v>1043400000000</v>
      </c>
      <c r="F48" s="1">
        <v>1060170000000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6" width="18.7109375" style="1" customWidth="1"/>
  </cols>
  <sheetData>
    <row r="1" spans="1:6">
      <c r="B1" s="2" t="s">
        <v>50</v>
      </c>
      <c r="C1" s="2" t="s">
        <v>51</v>
      </c>
      <c r="D1" s="2" t="s">
        <v>52</v>
      </c>
      <c r="E1" s="2" t="s">
        <v>53</v>
      </c>
      <c r="F1" s="2" t="s">
        <v>54</v>
      </c>
    </row>
    <row r="2" spans="1:6">
      <c r="A2" t="s">
        <v>179</v>
      </c>
      <c r="B2" s="1">
        <v>0</v>
      </c>
      <c r="C2" s="1">
        <v>23.60542155258254</v>
      </c>
      <c r="D2" s="1">
        <v>23.45964788371391</v>
      </c>
      <c r="E2" s="1">
        <v>25.13306490992871</v>
      </c>
      <c r="F2" s="1">
        <v>25.08632279906665</v>
      </c>
    </row>
    <row r="3" spans="1:6">
      <c r="A3" t="s">
        <v>180</v>
      </c>
      <c r="B3" s="1">
        <v>0</v>
      </c>
      <c r="C3" s="1">
        <v>18.15814921195523</v>
      </c>
      <c r="D3" s="1">
        <v>17.46421594035326</v>
      </c>
      <c r="E3" s="1">
        <v>19.63722887608427</v>
      </c>
      <c r="F3" s="1">
        <v>18.79084848754992</v>
      </c>
    </row>
    <row r="4" spans="1:6">
      <c r="A4" t="s">
        <v>181</v>
      </c>
      <c r="B4" s="1">
        <v>0</v>
      </c>
      <c r="C4" s="1">
        <v>13.87889873455917</v>
      </c>
      <c r="D4" s="1">
        <v>12.87303422624981</v>
      </c>
      <c r="E4" s="1">
        <v>13.99589818259302</v>
      </c>
      <c r="F4" s="1">
        <v>13.2827749346165</v>
      </c>
    </row>
    <row r="5" spans="1:6">
      <c r="A5" t="s">
        <v>182</v>
      </c>
      <c r="B5" s="1">
        <v>0</v>
      </c>
      <c r="C5" s="1">
        <v>8.722446451894712</v>
      </c>
      <c r="D5" s="1">
        <v>7.598466682235272</v>
      </c>
      <c r="E5" s="1">
        <v>7.726532188612574</v>
      </c>
      <c r="F5" s="1">
        <v>7.219706165588431</v>
      </c>
    </row>
    <row r="6" spans="1:6">
      <c r="A6" t="s">
        <v>183</v>
      </c>
      <c r="B6" s="1">
        <v>0</v>
      </c>
      <c r="C6" s="1">
        <v>6.690123285773653</v>
      </c>
      <c r="D6" s="1">
        <v>5.960755353940289</v>
      </c>
      <c r="E6" s="1">
        <v>5.792393900422561</v>
      </c>
      <c r="F6" s="1">
        <v>5.792595271461507</v>
      </c>
    </row>
    <row r="7" spans="1:6">
      <c r="A7" t="s">
        <v>184</v>
      </c>
      <c r="B7" s="1">
        <v>0</v>
      </c>
      <c r="C7" s="1">
        <v>1.822815254097686</v>
      </c>
      <c r="D7" s="1">
        <v>1.724565980030584</v>
      </c>
      <c r="E7" s="1">
        <v>2.280748624696571</v>
      </c>
      <c r="F7" s="1">
        <v>2.565802320238916</v>
      </c>
    </row>
    <row r="8" spans="1:6">
      <c r="A8" t="s">
        <v>185</v>
      </c>
      <c r="B8" s="1">
        <v>0</v>
      </c>
      <c r="C8" s="1">
        <v>0.4640789776383392</v>
      </c>
      <c r="D8" s="1">
        <v>0.5461105328937914</v>
      </c>
      <c r="E8" s="1">
        <v>0.513138487436688</v>
      </c>
      <c r="F8" s="1">
        <v>0.4946836632188464</v>
      </c>
    </row>
    <row r="9" spans="1:6">
      <c r="A9" t="s">
        <v>186</v>
      </c>
      <c r="B9" s="1">
        <v>0</v>
      </c>
      <c r="C9" s="1">
        <v>1.923917714901505</v>
      </c>
      <c r="D9" s="1">
        <v>2.245416778418488</v>
      </c>
      <c r="E9" s="1">
        <v>2.213015812602948</v>
      </c>
      <c r="F9" s="1">
        <v>2.312762096774194</v>
      </c>
    </row>
    <row r="10" spans="1:6">
      <c r="A10" t="s">
        <v>187</v>
      </c>
      <c r="B10" s="1">
        <v>0</v>
      </c>
      <c r="C10" s="1">
        <v>7.787834275194519</v>
      </c>
      <c r="D10" s="1">
        <v>9.317587501676277</v>
      </c>
      <c r="E10" s="1">
        <v>8.774123135903695</v>
      </c>
      <c r="F10" s="1">
        <v>8.259962049335863</v>
      </c>
    </row>
    <row r="11" spans="1:6">
      <c r="A11" t="s">
        <v>188</v>
      </c>
      <c r="B11" s="1">
        <v>0</v>
      </c>
      <c r="C11" s="1">
        <v>0.3617439719815006</v>
      </c>
      <c r="D11" s="1">
        <v>0.4671114389164543</v>
      </c>
      <c r="E11" s="1">
        <v>0.4362322475270359</v>
      </c>
      <c r="F11" s="1">
        <v>0.4383005218216319</v>
      </c>
    </row>
    <row r="12" spans="1:6">
      <c r="A12" t="s">
        <v>189</v>
      </c>
      <c r="B12" s="1">
        <v>0</v>
      </c>
      <c r="C12" s="1">
        <v>4.047904031900458</v>
      </c>
      <c r="D12" s="1">
        <v>4.149602689011223</v>
      </c>
      <c r="E12" s="1">
        <v>3.964781040395538</v>
      </c>
      <c r="F12" s="1">
        <v>3.571470693356976</v>
      </c>
    </row>
    <row r="13" spans="1:6">
      <c r="A13" t="s">
        <v>190</v>
      </c>
      <c r="B13" s="1">
        <v>0</v>
      </c>
      <c r="C13" s="1">
        <v>1.1242686174521</v>
      </c>
      <c r="D13" s="1">
        <v>1.074677252661449</v>
      </c>
      <c r="E13" s="1">
        <v>1.183037343312354</v>
      </c>
      <c r="F13" s="1">
        <v>1.100351084438783</v>
      </c>
    </row>
    <row r="14" spans="1:6">
      <c r="A14" t="s">
        <v>191</v>
      </c>
      <c r="B14" s="1">
        <v>0</v>
      </c>
      <c r="C14" s="1">
        <v>0.7750905521249781</v>
      </c>
      <c r="D14" s="1">
        <v>0.7208920941115825</v>
      </c>
      <c r="E14" s="1">
        <v>0.7985816638019765</v>
      </c>
      <c r="F14" s="1">
        <v>0.7784421371851976</v>
      </c>
    </row>
    <row r="15" spans="1:6">
      <c r="A15" t="s">
        <v>61</v>
      </c>
      <c r="B15" s="1">
        <v>0</v>
      </c>
      <c r="C15" s="1">
        <v>383570000000</v>
      </c>
      <c r="D15" s="1">
        <v>295530000000</v>
      </c>
      <c r="E15" s="1">
        <v>727330000000</v>
      </c>
      <c r="F15" s="1">
        <v>455330000000</v>
      </c>
    </row>
    <row r="16" spans="1:6">
      <c r="A16" t="s">
        <v>192</v>
      </c>
      <c r="B16" s="1">
        <v>0</v>
      </c>
      <c r="C16" s="1">
        <v>0.2656475662272401</v>
      </c>
      <c r="D16" s="1">
        <v>0.3183885194579649</v>
      </c>
      <c r="E16" s="1">
        <v>0.3037337786267915</v>
      </c>
      <c r="F16" s="1">
        <v>0.3047350085547608</v>
      </c>
    </row>
    <row r="17" spans="1:6">
      <c r="A17" t="s">
        <v>193</v>
      </c>
      <c r="B17" s="1">
        <v>0</v>
      </c>
      <c r="C17" s="1">
        <v>73.99021588254546</v>
      </c>
      <c r="D17" s="1">
        <v>76.05755635528011</v>
      </c>
      <c r="E17" s="1">
        <v>82.65806797816184</v>
      </c>
      <c r="F17" s="1">
        <v>73.77001385108629</v>
      </c>
    </row>
    <row r="18" spans="1:6">
      <c r="A18" t="s">
        <v>194</v>
      </c>
      <c r="B18" s="1">
        <v>0</v>
      </c>
      <c r="C18" s="1">
        <v>12.3980728860586</v>
      </c>
      <c r="D18" s="1">
        <v>11.82855548024401</v>
      </c>
      <c r="E18" s="1">
        <v>12.81176475810819</v>
      </c>
      <c r="F18" s="1">
        <v>15.93684726643606</v>
      </c>
    </row>
    <row r="19" spans="1:6">
      <c r="A19" t="s">
        <v>195</v>
      </c>
      <c r="B19" s="1">
        <v>0</v>
      </c>
      <c r="C19" s="1">
        <v>353.9912347444989</v>
      </c>
      <c r="D19" s="1">
        <v>260.8456955282441</v>
      </c>
      <c r="E19" s="1">
        <v>287.4952200119224</v>
      </c>
      <c r="F19" s="1">
        <v>281.7202259448113</v>
      </c>
    </row>
    <row r="20" spans="1:6">
      <c r="A20" t="s">
        <v>196</v>
      </c>
      <c r="B20" s="1">
        <v>0</v>
      </c>
      <c r="C20" s="1">
        <v>0.1188371977558215</v>
      </c>
      <c r="D20" s="1">
        <v>0.1021435919519606</v>
      </c>
      <c r="E20" s="1">
        <v>0.2702359147401933</v>
      </c>
      <c r="F20" s="1">
        <v>0.2723263207738619</v>
      </c>
    </row>
    <row r="21" spans="1:6">
      <c r="A21" t="s">
        <v>197</v>
      </c>
      <c r="B21" s="1">
        <v>0</v>
      </c>
      <c r="C21" s="1">
        <v>0</v>
      </c>
      <c r="D21" s="1">
        <v>26.13242370643267</v>
      </c>
      <c r="E21" s="1">
        <v>2.64616926871224</v>
      </c>
      <c r="F21" s="1">
        <v>7.061540578693637</v>
      </c>
    </row>
    <row r="22" spans="1:6">
      <c r="A22" t="s">
        <v>198</v>
      </c>
      <c r="B22" s="1">
        <v>0</v>
      </c>
      <c r="C22" s="1">
        <v>0.1880246588404744</v>
      </c>
      <c r="D22" s="1">
        <v>0.2080288360744567</v>
      </c>
      <c r="E22" s="1">
        <v>0.1971211615582357</v>
      </c>
      <c r="F22" s="1">
        <v>0.1895138814463308</v>
      </c>
    </row>
    <row r="23" spans="1:6">
      <c r="A23" t="s">
        <v>199</v>
      </c>
      <c r="B23" s="1">
        <v>0</v>
      </c>
      <c r="C23" s="1">
        <v>0</v>
      </c>
      <c r="D23" s="1">
        <v>18.5896572024371</v>
      </c>
      <c r="E23" s="1">
        <v>3.5138400440202</v>
      </c>
      <c r="F23" s="1">
        <v>6.769765009735895</v>
      </c>
    </row>
    <row r="24" spans="1:6">
      <c r="A24" t="s">
        <v>200</v>
      </c>
      <c r="B24" s="1">
        <v>0</v>
      </c>
      <c r="C24" s="1">
        <v>67273824281.22803</v>
      </c>
      <c r="D24" s="1">
        <v>74695610020.62817</v>
      </c>
      <c r="E24" s="1">
        <v>-133761250143.7607</v>
      </c>
      <c r="F24" s="1">
        <v>-129113710914.2874</v>
      </c>
    </row>
    <row r="25" spans="1:6">
      <c r="A25" t="s">
        <v>132</v>
      </c>
      <c r="B25" s="1">
        <v>0</v>
      </c>
      <c r="C25" s="1">
        <v>105090000000</v>
      </c>
      <c r="D25" s="1">
        <v>-259560000000</v>
      </c>
      <c r="E25" s="1">
        <v>59050000000</v>
      </c>
      <c r="F25" s="1">
        <v>387360000000</v>
      </c>
    </row>
    <row r="26" spans="1:6">
      <c r="A26" t="s">
        <v>201</v>
      </c>
      <c r="B26" s="1">
        <v>0</v>
      </c>
      <c r="C26" s="1">
        <v>0.8756073242913891</v>
      </c>
      <c r="D26" s="1">
        <v>0.7503375579719126</v>
      </c>
      <c r="E26" s="1">
        <v>0.8973912650330048</v>
      </c>
      <c r="F26" s="1">
        <v>0.9858170504319428</v>
      </c>
    </row>
    <row r="27" spans="1:6">
      <c r="A27" t="s">
        <v>202</v>
      </c>
      <c r="B27" s="1">
        <v>0</v>
      </c>
      <c r="C27" s="1">
        <v>0.1731158883123301</v>
      </c>
      <c r="D27" s="1">
        <v>-0.3891337591076729</v>
      </c>
      <c r="E27" s="1">
        <v>0.08481636287901639</v>
      </c>
      <c r="F27" s="1">
        <v>0.5561681598897312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Y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25" width="18.7109375" style="1" customWidth="1"/>
  </cols>
  <sheetData>
    <row r="1" spans="1:25">
      <c r="B1" s="2" t="s">
        <v>203</v>
      </c>
      <c r="C1" s="2" t="s">
        <v>204</v>
      </c>
      <c r="D1" s="2" t="s">
        <v>205</v>
      </c>
      <c r="E1" s="2" t="s">
        <v>206</v>
      </c>
      <c r="F1" s="2" t="s">
        <v>207</v>
      </c>
      <c r="G1" s="2" t="s">
        <v>208</v>
      </c>
      <c r="H1" s="2" t="s">
        <v>209</v>
      </c>
      <c r="I1" s="2" t="s">
        <v>210</v>
      </c>
      <c r="J1" s="2" t="s">
        <v>211</v>
      </c>
      <c r="K1" s="2" t="s">
        <v>212</v>
      </c>
      <c r="L1" s="2" t="s">
        <v>213</v>
      </c>
      <c r="M1" s="2" t="s">
        <v>214</v>
      </c>
      <c r="N1" s="2" t="s">
        <v>215</v>
      </c>
      <c r="O1" s="2" t="s">
        <v>216</v>
      </c>
      <c r="P1" s="2" t="s">
        <v>217</v>
      </c>
      <c r="Q1" s="2" t="s">
        <v>218</v>
      </c>
      <c r="R1" s="2" t="s">
        <v>219</v>
      </c>
      <c r="S1" s="2" t="s">
        <v>220</v>
      </c>
      <c r="T1" s="2" t="s">
        <v>221</v>
      </c>
      <c r="U1" s="2" t="s">
        <v>222</v>
      </c>
      <c r="V1" s="2" t="s">
        <v>223</v>
      </c>
      <c r="W1" s="2" t="s">
        <v>224</v>
      </c>
      <c r="X1" s="2" t="s">
        <v>225</v>
      </c>
      <c r="Y1" s="2" t="s">
        <v>226</v>
      </c>
    </row>
    <row r="2" spans="1:25">
      <c r="A2" t="s">
        <v>227</v>
      </c>
      <c r="B2" s="1">
        <v>50000000000</v>
      </c>
      <c r="C2" s="1">
        <v>50000000000</v>
      </c>
      <c r="D2" s="1">
        <v>50000000000</v>
      </c>
      <c r="E2" s="1">
        <v>50000000000</v>
      </c>
      <c r="F2" s="1">
        <v>50000000000</v>
      </c>
      <c r="G2" s="1">
        <v>50000000000</v>
      </c>
      <c r="H2" s="1">
        <v>50000000000</v>
      </c>
      <c r="I2" s="1">
        <v>50000000000</v>
      </c>
      <c r="J2" s="1">
        <v>50000000000</v>
      </c>
      <c r="K2" s="1">
        <v>50000000000</v>
      </c>
      <c r="L2" s="1">
        <v>50000000000</v>
      </c>
      <c r="M2" s="1">
        <v>50000000000</v>
      </c>
      <c r="N2" s="1">
        <v>50000000000</v>
      </c>
      <c r="O2" s="1">
        <v>50000000000</v>
      </c>
      <c r="P2" s="1">
        <v>50000000000</v>
      </c>
      <c r="Q2" s="1">
        <v>50000000000</v>
      </c>
      <c r="R2" s="1">
        <v>50000000000</v>
      </c>
      <c r="S2" s="1">
        <v>50000000000</v>
      </c>
      <c r="T2" s="1">
        <v>50000000000</v>
      </c>
      <c r="U2" s="1">
        <v>50000000000</v>
      </c>
      <c r="V2" s="1">
        <v>50000000000</v>
      </c>
      <c r="W2" s="1">
        <v>50000000000</v>
      </c>
      <c r="X2" s="1">
        <v>50000000000</v>
      </c>
      <c r="Y2" s="1">
        <v>50000000000</v>
      </c>
    </row>
    <row r="3" spans="1:25">
      <c r="A3" t="s">
        <v>228</v>
      </c>
      <c r="B3" s="1">
        <v>5000000000</v>
      </c>
      <c r="C3" s="1">
        <v>5000000000</v>
      </c>
      <c r="D3" s="1">
        <v>5000000000</v>
      </c>
      <c r="E3" s="1">
        <v>5000000000</v>
      </c>
      <c r="F3" s="1">
        <v>5000000000</v>
      </c>
      <c r="G3" s="1">
        <v>5000000000</v>
      </c>
      <c r="H3" s="1">
        <v>5000000000</v>
      </c>
      <c r="I3" s="1">
        <v>5000000000</v>
      </c>
      <c r="J3" s="1">
        <v>5000000000</v>
      </c>
      <c r="K3" s="1">
        <v>5000000000</v>
      </c>
      <c r="L3" s="1">
        <v>5000000000</v>
      </c>
      <c r="M3" s="1">
        <v>5000000000</v>
      </c>
      <c r="N3" s="1">
        <v>5000000000</v>
      </c>
      <c r="O3" s="1">
        <v>5000000000</v>
      </c>
      <c r="P3" s="1">
        <v>5000000000</v>
      </c>
      <c r="Q3" s="1">
        <v>5000000000</v>
      </c>
      <c r="R3" s="1">
        <v>5000000000</v>
      </c>
      <c r="S3" s="1">
        <v>5000000000</v>
      </c>
      <c r="T3" s="1">
        <v>5000000000</v>
      </c>
      <c r="U3" s="1">
        <v>5000000000</v>
      </c>
      <c r="V3" s="1">
        <v>5000000000</v>
      </c>
      <c r="W3" s="1">
        <v>5000000000</v>
      </c>
      <c r="X3" s="1">
        <v>5000000000</v>
      </c>
      <c r="Y3" s="1">
        <v>5000000000</v>
      </c>
    </row>
    <row r="4" spans="1:25">
      <c r="A4" t="s">
        <v>229</v>
      </c>
      <c r="B4" s="1">
        <v>100000000</v>
      </c>
      <c r="C4" s="1">
        <v>100000000</v>
      </c>
      <c r="D4" s="1">
        <v>100000000</v>
      </c>
      <c r="E4" s="1">
        <v>100000000</v>
      </c>
      <c r="F4" s="1">
        <v>100000000</v>
      </c>
      <c r="G4" s="1">
        <v>100000000</v>
      </c>
      <c r="H4" s="1">
        <v>100000000</v>
      </c>
      <c r="I4" s="1">
        <v>100000000</v>
      </c>
      <c r="J4" s="1">
        <v>100000000</v>
      </c>
      <c r="K4" s="1">
        <v>100000000</v>
      </c>
      <c r="L4" s="1">
        <v>100000000</v>
      </c>
      <c r="M4" s="1">
        <v>100000000</v>
      </c>
      <c r="N4" s="1">
        <v>100000000</v>
      </c>
      <c r="O4" s="1">
        <v>100000000</v>
      </c>
      <c r="P4" s="1">
        <v>100000000</v>
      </c>
      <c r="Q4" s="1">
        <v>100000000</v>
      </c>
      <c r="R4" s="1">
        <v>100000000</v>
      </c>
      <c r="S4" s="1">
        <v>100000000</v>
      </c>
      <c r="T4" s="1">
        <v>100000000</v>
      </c>
      <c r="U4" s="1">
        <v>100000000</v>
      </c>
      <c r="V4" s="1">
        <v>100000000</v>
      </c>
      <c r="W4" s="1">
        <v>100000000</v>
      </c>
      <c r="X4" s="1">
        <v>100000000</v>
      </c>
      <c r="Y4" s="1">
        <v>100000000</v>
      </c>
    </row>
    <row r="5" spans="1:25">
      <c r="A5" t="s">
        <v>230</v>
      </c>
      <c r="B5" s="1">
        <v>250000</v>
      </c>
      <c r="C5" s="1">
        <v>250000</v>
      </c>
      <c r="D5" s="1">
        <v>250000</v>
      </c>
      <c r="E5" s="1">
        <v>250000</v>
      </c>
      <c r="F5" s="1">
        <v>250000</v>
      </c>
      <c r="G5" s="1">
        <v>250000</v>
      </c>
      <c r="H5" s="1">
        <v>250000</v>
      </c>
      <c r="I5" s="1">
        <v>250000</v>
      </c>
      <c r="J5" s="1">
        <v>250000</v>
      </c>
      <c r="K5" s="1">
        <v>250000</v>
      </c>
      <c r="L5" s="1">
        <v>250000</v>
      </c>
      <c r="M5" s="1">
        <v>250000</v>
      </c>
      <c r="N5" s="1">
        <v>250000</v>
      </c>
      <c r="O5" s="1">
        <v>250000</v>
      </c>
      <c r="P5" s="1">
        <v>250000</v>
      </c>
      <c r="Q5" s="1">
        <v>250000</v>
      </c>
      <c r="R5" s="1">
        <v>250000</v>
      </c>
      <c r="S5" s="1">
        <v>250000</v>
      </c>
      <c r="T5" s="1">
        <v>250000</v>
      </c>
      <c r="U5" s="1">
        <v>250000</v>
      </c>
      <c r="V5" s="1">
        <v>250000</v>
      </c>
      <c r="W5" s="1">
        <v>250000</v>
      </c>
      <c r="X5" s="1">
        <v>250000</v>
      </c>
      <c r="Y5" s="1">
        <v>250000</v>
      </c>
    </row>
    <row r="6" spans="1:25">
      <c r="A6" t="s">
        <v>231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</v>
      </c>
      <c r="P6" s="1">
        <v>3</v>
      </c>
      <c r="Q6" s="1">
        <v>3</v>
      </c>
      <c r="R6" s="1">
        <v>5</v>
      </c>
      <c r="S6" s="1">
        <v>5</v>
      </c>
      <c r="T6" s="1">
        <v>8</v>
      </c>
      <c r="U6" s="1">
        <v>10</v>
      </c>
      <c r="V6" s="1">
        <v>12</v>
      </c>
      <c r="W6" s="1">
        <v>15</v>
      </c>
      <c r="X6" s="1">
        <v>20</v>
      </c>
      <c r="Y6" s="1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Y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25" width="18.7109375" style="1" customWidth="1"/>
  </cols>
  <sheetData>
    <row r="1" spans="1:25">
      <c r="B1" s="2" t="s">
        <v>203</v>
      </c>
      <c r="C1" s="2" t="s">
        <v>204</v>
      </c>
      <c r="D1" s="2" t="s">
        <v>205</v>
      </c>
      <c r="E1" s="2" t="s">
        <v>206</v>
      </c>
      <c r="F1" s="2" t="s">
        <v>207</v>
      </c>
      <c r="G1" s="2" t="s">
        <v>208</v>
      </c>
      <c r="H1" s="2" t="s">
        <v>209</v>
      </c>
      <c r="I1" s="2" t="s">
        <v>210</v>
      </c>
      <c r="J1" s="2" t="s">
        <v>211</v>
      </c>
      <c r="K1" s="2" t="s">
        <v>212</v>
      </c>
      <c r="L1" s="2" t="s">
        <v>213</v>
      </c>
      <c r="M1" s="2" t="s">
        <v>214</v>
      </c>
      <c r="N1" s="2" t="s">
        <v>215</v>
      </c>
      <c r="O1" s="2" t="s">
        <v>216</v>
      </c>
      <c r="P1" s="2" t="s">
        <v>217</v>
      </c>
      <c r="Q1" s="2" t="s">
        <v>218</v>
      </c>
      <c r="R1" s="2" t="s">
        <v>219</v>
      </c>
      <c r="S1" s="2" t="s">
        <v>220</v>
      </c>
      <c r="T1" s="2" t="s">
        <v>221</v>
      </c>
      <c r="U1" s="2" t="s">
        <v>222</v>
      </c>
      <c r="V1" s="2" t="s">
        <v>223</v>
      </c>
      <c r="W1" s="2" t="s">
        <v>224</v>
      </c>
      <c r="X1" s="2" t="s">
        <v>225</v>
      </c>
      <c r="Y1" s="2" t="s">
        <v>226</v>
      </c>
    </row>
    <row r="2" spans="1:25">
      <c r="A2" t="s">
        <v>232</v>
      </c>
      <c r="B2" s="1">
        <v>2000000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</row>
    <row r="3" spans="1:25">
      <c r="A3" t="s">
        <v>233</v>
      </c>
      <c r="B3" s="1">
        <v>5000000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500000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</row>
    <row r="4" spans="1:25">
      <c r="A4" t="s">
        <v>234</v>
      </c>
      <c r="B4" s="1">
        <v>7000000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500000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</row>
    <row r="5" spans="1:25">
      <c r="A5" t="s">
        <v>235</v>
      </c>
      <c r="B5" s="1">
        <v>105000</v>
      </c>
      <c r="C5" s="1">
        <v>105000</v>
      </c>
      <c r="D5" s="1">
        <v>105000</v>
      </c>
      <c r="E5" s="1">
        <v>105000</v>
      </c>
      <c r="F5" s="1">
        <v>105000</v>
      </c>
      <c r="G5" s="1">
        <v>105000</v>
      </c>
      <c r="H5" s="1">
        <v>105000</v>
      </c>
      <c r="I5" s="1">
        <v>105000</v>
      </c>
      <c r="J5" s="1">
        <v>105000</v>
      </c>
      <c r="K5" s="1">
        <v>105000</v>
      </c>
      <c r="L5" s="1">
        <v>105000</v>
      </c>
      <c r="M5" s="1">
        <v>105000</v>
      </c>
      <c r="N5" s="1">
        <v>112500</v>
      </c>
      <c r="O5" s="1">
        <v>112500</v>
      </c>
      <c r="P5" s="1">
        <v>112500</v>
      </c>
      <c r="Q5" s="1">
        <v>112500</v>
      </c>
      <c r="R5" s="1">
        <v>112500</v>
      </c>
      <c r="S5" s="1">
        <v>112500</v>
      </c>
      <c r="T5" s="1">
        <v>112500</v>
      </c>
      <c r="U5" s="1">
        <v>112500</v>
      </c>
      <c r="V5" s="1">
        <v>112500</v>
      </c>
      <c r="W5" s="1">
        <v>112500</v>
      </c>
      <c r="X5" s="1">
        <v>112500</v>
      </c>
      <c r="Y5" s="1">
        <v>112500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25" width="18.7109375" style="1" customWidth="1"/>
  </cols>
  <sheetData>
    <row r="1" spans="1:25">
      <c r="B1" s="2" t="s">
        <v>203</v>
      </c>
      <c r="C1" s="2" t="s">
        <v>204</v>
      </c>
      <c r="D1" s="2" t="s">
        <v>205</v>
      </c>
      <c r="E1" s="2" t="s">
        <v>206</v>
      </c>
      <c r="F1" s="2" t="s">
        <v>207</v>
      </c>
      <c r="G1" s="2" t="s">
        <v>208</v>
      </c>
      <c r="H1" s="2" t="s">
        <v>209</v>
      </c>
      <c r="I1" s="2" t="s">
        <v>210</v>
      </c>
      <c r="J1" s="2" t="s">
        <v>211</v>
      </c>
      <c r="K1" s="2" t="s">
        <v>212</v>
      </c>
      <c r="L1" s="2" t="s">
        <v>213</v>
      </c>
      <c r="M1" s="2" t="s">
        <v>214</v>
      </c>
      <c r="N1" s="2" t="s">
        <v>215</v>
      </c>
      <c r="O1" s="2" t="s">
        <v>216</v>
      </c>
      <c r="P1" s="2" t="s">
        <v>217</v>
      </c>
      <c r="Q1" s="2" t="s">
        <v>218</v>
      </c>
      <c r="R1" s="2" t="s">
        <v>219</v>
      </c>
      <c r="S1" s="2" t="s">
        <v>220</v>
      </c>
      <c r="T1" s="2" t="s">
        <v>221</v>
      </c>
      <c r="U1" s="2" t="s">
        <v>222</v>
      </c>
      <c r="V1" s="2" t="s">
        <v>223</v>
      </c>
      <c r="W1" s="2" t="s">
        <v>224</v>
      </c>
      <c r="X1" s="2" t="s">
        <v>225</v>
      </c>
      <c r="Y1" s="2" t="s">
        <v>226</v>
      </c>
    </row>
    <row r="2" spans="1:25">
      <c r="A2" t="s">
        <v>236</v>
      </c>
      <c r="B2" s="1">
        <v>200000</v>
      </c>
      <c r="C2" s="1">
        <v>210000</v>
      </c>
      <c r="D2" s="1">
        <v>220000</v>
      </c>
      <c r="E2" s="1">
        <v>230000</v>
      </c>
      <c r="F2" s="1">
        <v>240000</v>
      </c>
      <c r="G2" s="1">
        <v>250000</v>
      </c>
      <c r="H2" s="1">
        <v>260000</v>
      </c>
      <c r="I2" s="1">
        <v>270000</v>
      </c>
      <c r="J2" s="1">
        <v>280000</v>
      </c>
      <c r="K2" s="1">
        <v>290000</v>
      </c>
      <c r="L2" s="1">
        <v>300000</v>
      </c>
      <c r="M2" s="1">
        <v>310000</v>
      </c>
      <c r="N2" s="1">
        <v>320000</v>
      </c>
      <c r="O2" s="1">
        <v>330000</v>
      </c>
      <c r="P2" s="1">
        <v>340000</v>
      </c>
      <c r="Q2" s="1">
        <v>350000</v>
      </c>
      <c r="R2" s="1">
        <v>360000</v>
      </c>
      <c r="S2" s="1">
        <v>370000</v>
      </c>
      <c r="T2" s="1">
        <v>380000</v>
      </c>
      <c r="U2" s="1">
        <v>390000</v>
      </c>
      <c r="V2" s="1">
        <v>400000</v>
      </c>
      <c r="W2" s="1">
        <v>410000</v>
      </c>
      <c r="X2" s="1">
        <v>420000</v>
      </c>
      <c r="Y2" s="1">
        <v>430000</v>
      </c>
    </row>
    <row r="3" spans="1:25">
      <c r="A3" t="s">
        <v>237</v>
      </c>
      <c r="B3" s="1">
        <v>150000</v>
      </c>
      <c r="C3" s="1">
        <v>150000</v>
      </c>
      <c r="D3" s="1">
        <v>150000</v>
      </c>
      <c r="E3" s="1">
        <v>150000</v>
      </c>
      <c r="F3" s="1">
        <v>150000</v>
      </c>
      <c r="G3" s="1">
        <v>150000</v>
      </c>
      <c r="H3" s="1">
        <v>150000</v>
      </c>
      <c r="I3" s="1">
        <v>150000</v>
      </c>
      <c r="J3" s="1">
        <v>150000</v>
      </c>
      <c r="K3" s="1">
        <v>150000</v>
      </c>
      <c r="L3" s="1">
        <v>150000</v>
      </c>
      <c r="M3" s="1">
        <v>150000</v>
      </c>
      <c r="N3" s="1">
        <v>50000</v>
      </c>
      <c r="O3" s="1">
        <v>50000</v>
      </c>
      <c r="P3" s="1">
        <v>50000</v>
      </c>
      <c r="Q3" s="1">
        <v>50000</v>
      </c>
      <c r="R3" s="1">
        <v>50000</v>
      </c>
      <c r="S3" s="1">
        <v>50000</v>
      </c>
      <c r="T3" s="1">
        <v>50000</v>
      </c>
      <c r="U3" s="1">
        <v>50000</v>
      </c>
      <c r="V3" s="1">
        <v>50000</v>
      </c>
      <c r="W3" s="1">
        <v>50000</v>
      </c>
      <c r="X3" s="1">
        <v>50000</v>
      </c>
      <c r="Y3" s="1">
        <v>50000</v>
      </c>
    </row>
    <row r="4" spans="1:25">
      <c r="A4" t="s">
        <v>238</v>
      </c>
      <c r="B4" s="1">
        <v>50000</v>
      </c>
      <c r="C4" s="1">
        <v>50000</v>
      </c>
      <c r="D4" s="1">
        <v>50000</v>
      </c>
      <c r="E4" s="1">
        <v>50000</v>
      </c>
      <c r="F4" s="1">
        <v>50000</v>
      </c>
      <c r="G4" s="1">
        <v>50000</v>
      </c>
      <c r="H4" s="1">
        <v>50000</v>
      </c>
      <c r="I4" s="1">
        <v>50000</v>
      </c>
      <c r="J4" s="1">
        <v>50000</v>
      </c>
      <c r="K4" s="1">
        <v>50000</v>
      </c>
      <c r="L4" s="1">
        <v>50000</v>
      </c>
      <c r="M4" s="1">
        <v>50000</v>
      </c>
      <c r="N4" s="1">
        <v>50000</v>
      </c>
      <c r="O4" s="1">
        <v>50000</v>
      </c>
      <c r="P4" s="1">
        <v>50000</v>
      </c>
      <c r="Q4" s="1">
        <v>50000</v>
      </c>
      <c r="R4" s="1">
        <v>50000</v>
      </c>
      <c r="S4" s="1">
        <v>50000</v>
      </c>
      <c r="T4" s="1">
        <v>50000</v>
      </c>
      <c r="U4" s="1">
        <v>50000</v>
      </c>
      <c r="V4" s="1">
        <v>50000</v>
      </c>
      <c r="W4" s="1">
        <v>50000</v>
      </c>
      <c r="X4" s="1">
        <v>50000</v>
      </c>
      <c r="Y4" s="1">
        <v>50000</v>
      </c>
    </row>
    <row r="5" spans="1:25">
      <c r="A5" t="s">
        <v>239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100000</v>
      </c>
      <c r="N5" s="1">
        <v>200000</v>
      </c>
      <c r="O5" s="1">
        <v>200000</v>
      </c>
      <c r="P5" s="1">
        <v>300000</v>
      </c>
      <c r="Q5" s="1">
        <v>300000</v>
      </c>
      <c r="R5" s="1">
        <v>500000</v>
      </c>
      <c r="S5" s="1">
        <v>500000</v>
      </c>
      <c r="T5" s="1">
        <v>800000</v>
      </c>
      <c r="U5" s="1">
        <v>1000000</v>
      </c>
      <c r="V5" s="1">
        <v>1200000</v>
      </c>
      <c r="W5" s="1">
        <v>1500000</v>
      </c>
      <c r="X5" s="1">
        <v>2000000</v>
      </c>
      <c r="Y5" s="1">
        <v>2500000</v>
      </c>
    </row>
    <row r="6" spans="1:25">
      <c r="A6" t="s">
        <v>240</v>
      </c>
      <c r="B6" s="1">
        <v>100000</v>
      </c>
      <c r="C6" s="1">
        <v>100000</v>
      </c>
      <c r="D6" s="1">
        <v>100000</v>
      </c>
      <c r="E6" s="1">
        <v>100000</v>
      </c>
      <c r="F6" s="1">
        <v>100000</v>
      </c>
      <c r="G6" s="1">
        <v>100000</v>
      </c>
      <c r="H6" s="1">
        <v>100000</v>
      </c>
      <c r="I6" s="1">
        <v>100000</v>
      </c>
      <c r="J6" s="1">
        <v>100000</v>
      </c>
      <c r="K6" s="1">
        <v>100000</v>
      </c>
      <c r="L6" s="1">
        <v>100000</v>
      </c>
      <c r="M6" s="1">
        <v>100000</v>
      </c>
      <c r="N6" s="1">
        <v>100000</v>
      </c>
      <c r="O6" s="1">
        <v>100000</v>
      </c>
      <c r="P6" s="1">
        <v>100000</v>
      </c>
      <c r="Q6" s="1">
        <v>100000</v>
      </c>
      <c r="R6" s="1">
        <v>100000</v>
      </c>
      <c r="S6" s="1">
        <v>100000</v>
      </c>
      <c r="T6" s="1">
        <v>100000</v>
      </c>
      <c r="U6" s="1">
        <v>100000</v>
      </c>
      <c r="V6" s="1">
        <v>100000</v>
      </c>
      <c r="W6" s="1">
        <v>100000</v>
      </c>
      <c r="X6" s="1">
        <v>100000</v>
      </c>
      <c r="Y6" s="1">
        <v>100000</v>
      </c>
    </row>
    <row r="7" spans="1:25">
      <c r="A7" t="s">
        <v>241</v>
      </c>
      <c r="B7" s="1">
        <v>500000</v>
      </c>
      <c r="C7" s="1">
        <v>510000</v>
      </c>
      <c r="D7" s="1">
        <v>520000</v>
      </c>
      <c r="E7" s="1">
        <v>530000</v>
      </c>
      <c r="F7" s="1">
        <v>540000</v>
      </c>
      <c r="G7" s="1">
        <v>550000</v>
      </c>
      <c r="H7" s="1">
        <v>560000</v>
      </c>
      <c r="I7" s="1">
        <v>570000</v>
      </c>
      <c r="J7" s="1">
        <v>580000</v>
      </c>
      <c r="K7" s="1">
        <v>590000</v>
      </c>
      <c r="L7" s="1">
        <v>600000</v>
      </c>
      <c r="M7" s="1">
        <v>710000</v>
      </c>
      <c r="N7" s="1">
        <v>720000</v>
      </c>
      <c r="O7" s="1">
        <v>730000</v>
      </c>
      <c r="P7" s="1">
        <v>840000</v>
      </c>
      <c r="Q7" s="1">
        <v>850000</v>
      </c>
      <c r="R7" s="1">
        <v>1060000</v>
      </c>
      <c r="S7" s="1">
        <v>1070000</v>
      </c>
      <c r="T7" s="1">
        <v>1380000</v>
      </c>
      <c r="U7" s="1">
        <v>1590000</v>
      </c>
      <c r="V7" s="1">
        <v>1800000</v>
      </c>
      <c r="W7" s="1">
        <v>2110000</v>
      </c>
      <c r="X7" s="1">
        <v>2620000</v>
      </c>
      <c r="Y7" s="1">
        <v>3130000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Y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25" width="18.7109375" style="1" customWidth="1"/>
  </cols>
  <sheetData>
    <row r="1" spans="1:25">
      <c r="B1" s="2" t="s">
        <v>203</v>
      </c>
      <c r="C1" s="2" t="s">
        <v>204</v>
      </c>
      <c r="D1" s="2" t="s">
        <v>205</v>
      </c>
      <c r="E1" s="2" t="s">
        <v>206</v>
      </c>
      <c r="F1" s="2" t="s">
        <v>207</v>
      </c>
      <c r="G1" s="2" t="s">
        <v>208</v>
      </c>
      <c r="H1" s="2" t="s">
        <v>209</v>
      </c>
      <c r="I1" s="2" t="s">
        <v>210</v>
      </c>
      <c r="J1" s="2" t="s">
        <v>211</v>
      </c>
      <c r="K1" s="2" t="s">
        <v>212</v>
      </c>
      <c r="L1" s="2" t="s">
        <v>213</v>
      </c>
      <c r="M1" s="2" t="s">
        <v>214</v>
      </c>
      <c r="N1" s="2" t="s">
        <v>215</v>
      </c>
      <c r="O1" s="2" t="s">
        <v>216</v>
      </c>
      <c r="P1" s="2" t="s">
        <v>217</v>
      </c>
      <c r="Q1" s="2" t="s">
        <v>218</v>
      </c>
      <c r="R1" s="2" t="s">
        <v>219</v>
      </c>
      <c r="S1" s="2" t="s">
        <v>220</v>
      </c>
      <c r="T1" s="2" t="s">
        <v>221</v>
      </c>
      <c r="U1" s="2" t="s">
        <v>222</v>
      </c>
      <c r="V1" s="2" t="s">
        <v>223</v>
      </c>
      <c r="W1" s="2" t="s">
        <v>224</v>
      </c>
      <c r="X1" s="2" t="s">
        <v>225</v>
      </c>
      <c r="Y1" s="2" t="s">
        <v>226</v>
      </c>
    </row>
    <row r="2" spans="1:25">
      <c r="A2" t="s">
        <v>242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250000</v>
      </c>
      <c r="N2" s="1">
        <v>750000</v>
      </c>
      <c r="O2" s="1">
        <v>1250000</v>
      </c>
      <c r="P2" s="1">
        <v>2000000</v>
      </c>
      <c r="Q2" s="1">
        <v>2750000</v>
      </c>
      <c r="R2" s="1">
        <v>4000000</v>
      </c>
      <c r="S2" s="1">
        <v>5250000</v>
      </c>
      <c r="T2" s="1">
        <v>7250000</v>
      </c>
      <c r="U2" s="1">
        <v>9750000</v>
      </c>
      <c r="V2" s="1">
        <v>12750000</v>
      </c>
      <c r="W2" s="1">
        <v>16500000</v>
      </c>
      <c r="X2" s="1">
        <v>21500000</v>
      </c>
      <c r="Y2" s="1">
        <v>27750000</v>
      </c>
    </row>
    <row r="3" spans="1:25">
      <c r="A3" t="s">
        <v>8</v>
      </c>
      <c r="B3" s="1">
        <v>-500000</v>
      </c>
      <c r="C3" s="1">
        <v>-510000</v>
      </c>
      <c r="D3" s="1">
        <v>-520000</v>
      </c>
      <c r="E3" s="1">
        <v>-530000</v>
      </c>
      <c r="F3" s="1">
        <v>-540000</v>
      </c>
      <c r="G3" s="1">
        <v>-550000</v>
      </c>
      <c r="H3" s="1">
        <v>-560000</v>
      </c>
      <c r="I3" s="1">
        <v>-570000</v>
      </c>
      <c r="J3" s="1">
        <v>-580000</v>
      </c>
      <c r="K3" s="1">
        <v>-590000</v>
      </c>
      <c r="L3" s="1">
        <v>-600000</v>
      </c>
      <c r="M3" s="1">
        <v>-460000</v>
      </c>
      <c r="N3" s="1">
        <v>30000</v>
      </c>
      <c r="O3" s="1">
        <v>520000</v>
      </c>
      <c r="P3" s="1">
        <v>1160000</v>
      </c>
      <c r="Q3" s="1">
        <v>1900000</v>
      </c>
      <c r="R3" s="1">
        <v>2940000</v>
      </c>
      <c r="S3" s="1">
        <v>4180000</v>
      </c>
      <c r="T3" s="1">
        <v>5870000</v>
      </c>
      <c r="U3" s="1">
        <v>8160000</v>
      </c>
      <c r="V3" s="1">
        <v>10950000</v>
      </c>
      <c r="W3" s="1">
        <v>14390000</v>
      </c>
      <c r="X3" s="1">
        <v>18880000</v>
      </c>
      <c r="Y3" s="1">
        <v>24620000</v>
      </c>
    </row>
    <row r="4" spans="1:25">
      <c r="A4" t="s">
        <v>9</v>
      </c>
      <c r="B4" s="1">
        <v>-605000</v>
      </c>
      <c r="C4" s="1">
        <v>-615000</v>
      </c>
      <c r="D4" s="1">
        <v>-625000</v>
      </c>
      <c r="E4" s="1">
        <v>-635000</v>
      </c>
      <c r="F4" s="1">
        <v>-645000</v>
      </c>
      <c r="G4" s="1">
        <v>-655000</v>
      </c>
      <c r="H4" s="1">
        <v>-665000</v>
      </c>
      <c r="I4" s="1">
        <v>-675000</v>
      </c>
      <c r="J4" s="1">
        <v>-685000</v>
      </c>
      <c r="K4" s="1">
        <v>-695000</v>
      </c>
      <c r="L4" s="1">
        <v>-705000</v>
      </c>
      <c r="M4" s="1">
        <v>-565000</v>
      </c>
      <c r="N4" s="1">
        <v>-82500</v>
      </c>
      <c r="O4" s="1">
        <v>407500</v>
      </c>
      <c r="P4" s="1">
        <v>1047500</v>
      </c>
      <c r="Q4" s="1">
        <v>1787500</v>
      </c>
      <c r="R4" s="1">
        <v>2827500</v>
      </c>
      <c r="S4" s="1">
        <v>4067500</v>
      </c>
      <c r="T4" s="1">
        <v>5757500</v>
      </c>
      <c r="U4" s="1">
        <v>8047500</v>
      </c>
      <c r="V4" s="1">
        <v>10837500</v>
      </c>
      <c r="W4" s="1">
        <v>14277500</v>
      </c>
      <c r="X4" s="1">
        <v>18767500</v>
      </c>
      <c r="Y4" s="1">
        <v>24507500</v>
      </c>
    </row>
    <row r="5" spans="1:25">
      <c r="A5" t="s">
        <v>24</v>
      </c>
      <c r="B5" s="1">
        <v>-605000</v>
      </c>
      <c r="C5" s="1">
        <v>-615000</v>
      </c>
      <c r="D5" s="1">
        <v>-625000</v>
      </c>
      <c r="E5" s="1">
        <v>-635000</v>
      </c>
      <c r="F5" s="1">
        <v>-645000</v>
      </c>
      <c r="G5" s="1">
        <v>-655000</v>
      </c>
      <c r="H5" s="1">
        <v>-665000</v>
      </c>
      <c r="I5" s="1">
        <v>-675000</v>
      </c>
      <c r="J5" s="1">
        <v>-685000</v>
      </c>
      <c r="K5" s="1">
        <v>-695000</v>
      </c>
      <c r="L5" s="1">
        <v>-705000</v>
      </c>
      <c r="M5" s="1">
        <v>-565000</v>
      </c>
      <c r="N5" s="1">
        <v>-82500</v>
      </c>
      <c r="O5" s="1">
        <v>407500</v>
      </c>
      <c r="P5" s="1">
        <v>1047500</v>
      </c>
      <c r="Q5" s="1">
        <v>1787500</v>
      </c>
      <c r="R5" s="1">
        <v>2827500</v>
      </c>
      <c r="S5" s="1">
        <v>4067500</v>
      </c>
      <c r="T5" s="1">
        <v>5757500</v>
      </c>
      <c r="U5" s="1">
        <v>8047500</v>
      </c>
      <c r="V5" s="1">
        <v>10837500</v>
      </c>
      <c r="W5" s="1">
        <v>14277500</v>
      </c>
      <c r="X5" s="1">
        <v>18767500</v>
      </c>
      <c r="Y5" s="1">
        <v>24507500</v>
      </c>
    </row>
    <row r="6" spans="1:25">
      <c r="A6" t="s">
        <v>243</v>
      </c>
      <c r="B6" s="1">
        <v>-500000</v>
      </c>
      <c r="C6" s="1">
        <v>-510000</v>
      </c>
      <c r="D6" s="1">
        <v>-520000</v>
      </c>
      <c r="E6" s="1">
        <v>-530000</v>
      </c>
      <c r="F6" s="1">
        <v>-540000</v>
      </c>
      <c r="G6" s="1">
        <v>-550000</v>
      </c>
      <c r="H6" s="1">
        <v>-560000</v>
      </c>
      <c r="I6" s="1">
        <v>-570000</v>
      </c>
      <c r="J6" s="1">
        <v>-580000</v>
      </c>
      <c r="K6" s="1">
        <v>-590000</v>
      </c>
      <c r="L6" s="1">
        <v>-600000</v>
      </c>
      <c r="M6" s="1">
        <v>-460000</v>
      </c>
      <c r="N6" s="1">
        <v>30000</v>
      </c>
      <c r="O6" s="1">
        <v>520000</v>
      </c>
      <c r="P6" s="1">
        <v>1160000</v>
      </c>
      <c r="Q6" s="1">
        <v>1900000</v>
      </c>
      <c r="R6" s="1">
        <v>2940000</v>
      </c>
      <c r="S6" s="1">
        <v>4180000</v>
      </c>
      <c r="T6" s="1">
        <v>5870000</v>
      </c>
      <c r="U6" s="1">
        <v>8160000</v>
      </c>
      <c r="V6" s="1">
        <v>10950000</v>
      </c>
      <c r="W6" s="1">
        <v>14390000</v>
      </c>
      <c r="X6" s="1">
        <v>18880000</v>
      </c>
      <c r="Y6" s="1">
        <v>24620000</v>
      </c>
    </row>
    <row r="7" spans="1:25">
      <c r="A7" t="s">
        <v>132</v>
      </c>
      <c r="B7" s="1">
        <v>-7500000</v>
      </c>
      <c r="C7" s="1">
        <v>-510000</v>
      </c>
      <c r="D7" s="1">
        <v>-520000</v>
      </c>
      <c r="E7" s="1">
        <v>-530000</v>
      </c>
      <c r="F7" s="1">
        <v>-540000</v>
      </c>
      <c r="G7" s="1">
        <v>-550000</v>
      </c>
      <c r="H7" s="1">
        <v>-560000</v>
      </c>
      <c r="I7" s="1">
        <v>-570000</v>
      </c>
      <c r="J7" s="1">
        <v>-580000</v>
      </c>
      <c r="K7" s="1">
        <v>-590000</v>
      </c>
      <c r="L7" s="1">
        <v>-600000</v>
      </c>
      <c r="M7" s="1">
        <v>-460000</v>
      </c>
      <c r="N7" s="1">
        <v>-470000</v>
      </c>
      <c r="O7" s="1">
        <v>520000</v>
      </c>
      <c r="P7" s="1">
        <v>1160000</v>
      </c>
      <c r="Q7" s="1">
        <v>1900000</v>
      </c>
      <c r="R7" s="1">
        <v>2940000</v>
      </c>
      <c r="S7" s="1">
        <v>4180000</v>
      </c>
      <c r="T7" s="1">
        <v>5870000</v>
      </c>
      <c r="U7" s="1">
        <v>8160000</v>
      </c>
      <c r="V7" s="1">
        <v>10950000</v>
      </c>
      <c r="W7" s="1">
        <v>14390000</v>
      </c>
      <c r="X7" s="1">
        <v>18880000</v>
      </c>
      <c r="Y7" s="1">
        <v>24620000</v>
      </c>
    </row>
    <row r="8" spans="1:25">
      <c r="A8" t="s">
        <v>244</v>
      </c>
      <c r="B8" s="1">
        <v>17500000</v>
      </c>
      <c r="C8" s="1">
        <v>16990000</v>
      </c>
      <c r="D8" s="1">
        <v>16470000</v>
      </c>
      <c r="E8" s="1">
        <v>15940000</v>
      </c>
      <c r="F8" s="1">
        <v>15400000</v>
      </c>
      <c r="G8" s="1">
        <v>14850000</v>
      </c>
      <c r="H8" s="1">
        <v>14290000</v>
      </c>
      <c r="I8" s="1">
        <v>13720000</v>
      </c>
      <c r="J8" s="1">
        <v>13140000</v>
      </c>
      <c r="K8" s="1">
        <v>12550000</v>
      </c>
      <c r="L8" s="1">
        <v>11950000</v>
      </c>
      <c r="M8" s="1">
        <v>11490000</v>
      </c>
      <c r="N8" s="1">
        <v>11020000</v>
      </c>
      <c r="O8" s="1">
        <v>11540000</v>
      </c>
      <c r="P8" s="1">
        <v>12700000</v>
      </c>
      <c r="Q8" s="1">
        <v>14600000</v>
      </c>
      <c r="R8" s="1">
        <v>17540000</v>
      </c>
      <c r="S8" s="1">
        <v>21720000</v>
      </c>
      <c r="T8" s="1">
        <v>27590000</v>
      </c>
      <c r="U8" s="1">
        <v>35750000</v>
      </c>
      <c r="V8" s="1">
        <v>46700000</v>
      </c>
      <c r="W8" s="1">
        <v>61090000</v>
      </c>
      <c r="X8" s="1">
        <v>79970000</v>
      </c>
      <c r="Y8" s="1">
        <v>104590000</v>
      </c>
    </row>
    <row r="9" spans="1:25">
      <c r="A9" t="s">
        <v>245</v>
      </c>
      <c r="B9" s="1">
        <v>7500000</v>
      </c>
      <c r="C9" s="1">
        <v>510000</v>
      </c>
      <c r="D9" s="1">
        <v>520000</v>
      </c>
      <c r="E9" s="1">
        <v>530000</v>
      </c>
      <c r="F9" s="1">
        <v>540000</v>
      </c>
      <c r="G9" s="1">
        <v>550000</v>
      </c>
      <c r="H9" s="1">
        <v>560000</v>
      </c>
      <c r="I9" s="1">
        <v>570000</v>
      </c>
      <c r="J9" s="1">
        <v>580000</v>
      </c>
      <c r="K9" s="1">
        <v>590000</v>
      </c>
      <c r="L9" s="1">
        <v>600000</v>
      </c>
      <c r="M9" s="1">
        <v>460000</v>
      </c>
      <c r="N9" s="1">
        <v>470000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</row>
    <row r="10" spans="1:25">
      <c r="A10" t="s">
        <v>246</v>
      </c>
      <c r="B10" s="1">
        <v>2.333333333333333</v>
      </c>
      <c r="C10" s="1">
        <v>33.31372549019608</v>
      </c>
      <c r="D10" s="1">
        <v>31.67307692307692</v>
      </c>
      <c r="E10" s="1">
        <v>30.07547169811321</v>
      </c>
      <c r="F10" s="1">
        <v>28.51851851851852</v>
      </c>
      <c r="G10" s="1">
        <v>27</v>
      </c>
      <c r="H10" s="1">
        <v>25.51785714285714</v>
      </c>
      <c r="I10" s="1">
        <v>24.07017543859649</v>
      </c>
      <c r="J10" s="1">
        <v>22.6551724137931</v>
      </c>
      <c r="K10" s="1">
        <v>21.27118644067797</v>
      </c>
      <c r="L10" s="1">
        <v>19.91666666666667</v>
      </c>
      <c r="M10" s="1">
        <v>24.97826086956522</v>
      </c>
      <c r="N10" s="1">
        <v>23.4468085106383</v>
      </c>
      <c r="O10" s="1">
        <v>999</v>
      </c>
      <c r="P10" s="1">
        <v>999</v>
      </c>
      <c r="Q10" s="1">
        <v>999</v>
      </c>
      <c r="R10" s="1">
        <v>999</v>
      </c>
      <c r="S10" s="1">
        <v>999</v>
      </c>
      <c r="T10" s="1">
        <v>999</v>
      </c>
      <c r="U10" s="1">
        <v>999</v>
      </c>
      <c r="V10" s="1">
        <v>999</v>
      </c>
      <c r="W10" s="1">
        <v>999</v>
      </c>
      <c r="X10" s="1">
        <v>999</v>
      </c>
      <c r="Y10" s="1">
        <v>999</v>
      </c>
    </row>
    <row r="11" spans="1:25">
      <c r="A11" t="s">
        <v>247</v>
      </c>
      <c r="B11" s="1">
        <v>-7500000</v>
      </c>
      <c r="C11" s="1">
        <v>-503703.7037037037</v>
      </c>
      <c r="D11" s="1">
        <v>-507239.750038104</v>
      </c>
      <c r="E11" s="1">
        <v>-510611.7141884048</v>
      </c>
      <c r="F11" s="1">
        <v>-513823.1086172627</v>
      </c>
      <c r="G11" s="1">
        <v>-516877.384068577</v>
      </c>
      <c r="H11" s="1">
        <v>-519777.9305560551</v>
      </c>
      <c r="I11" s="1">
        <v>-522528.078336775</v>
      </c>
      <c r="J11" s="1">
        <v>-525131.0988699666</v>
      </c>
      <c r="K11" s="1">
        <v>-527590.2057612266</v>
      </c>
      <c r="L11" s="1">
        <v>-529908.5556923808</v>
      </c>
      <c r="M11" s="1">
        <v>-401247.6306477287</v>
      </c>
      <c r="N11" s="1">
        <v>-404909.042199533</v>
      </c>
      <c r="O11" s="1">
        <v>442453.7997242073</v>
      </c>
      <c r="P11" s="1">
        <v>974826.9851473514</v>
      </c>
      <c r="Q11" s="1">
        <v>1576987.034295418</v>
      </c>
      <c r="R11" s="1">
        <v>2410054.25904017</v>
      </c>
      <c r="S11" s="1">
        <v>3384236.769224124</v>
      </c>
      <c r="T11" s="1">
        <v>4693831.847207895</v>
      </c>
      <c r="U11" s="1">
        <v>6444430.626237856</v>
      </c>
      <c r="V11" s="1">
        <v>8541093.604127878</v>
      </c>
      <c r="W11" s="1">
        <v>11085751.12133944</v>
      </c>
      <c r="X11" s="1">
        <v>14365187.15300499</v>
      </c>
      <c r="Y11" s="1">
        <v>18501302.97692942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4" width="18.7109375" style="1" customWidth="1"/>
  </cols>
  <sheetData>
    <row r="1" spans="1:4">
      <c r="B1" s="2" t="s">
        <v>248</v>
      </c>
      <c r="C1" s="2" t="s">
        <v>249</v>
      </c>
      <c r="D1" s="2" t="s">
        <v>250</v>
      </c>
    </row>
    <row r="2" spans="1:4">
      <c r="A2" t="s">
        <v>251</v>
      </c>
      <c r="B2" s="1">
        <v>104406000</v>
      </c>
      <c r="C2" s="1">
        <v>79590000</v>
      </c>
      <c r="D2" s="1">
        <v>52308000</v>
      </c>
    </row>
    <row r="3" spans="1:4">
      <c r="A3" t="s">
        <v>252</v>
      </c>
      <c r="B3" s="1">
        <v>76617850.36567874</v>
      </c>
      <c r="C3" s="1">
        <v>58936807.97359903</v>
      </c>
      <c r="D3" s="1">
        <v>41255765.58151932</v>
      </c>
    </row>
    <row r="4" spans="1:4">
      <c r="A4" t="s">
        <v>253</v>
      </c>
      <c r="B4" s="1" t="s">
        <v>254</v>
      </c>
      <c r="C4" s="1" t="s">
        <v>254</v>
      </c>
      <c r="D4" s="1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1" width="25.7109375" customWidth="1"/>
    <col min="2" max="2" width="40.7109375" customWidth="1"/>
  </cols>
  <sheetData>
    <row r="1" spans="1:2">
      <c r="A1" s="3" t="s">
        <v>255</v>
      </c>
    </row>
    <row r="3" spans="1:2">
      <c r="A3" s="4" t="s">
        <v>256</v>
      </c>
      <c r="B3" s="4" t="s">
        <v>257</v>
      </c>
    </row>
    <row r="4" spans="1:2">
      <c r="A4" t="s">
        <v>258</v>
      </c>
      <c r="B4" t="s">
        <v>259</v>
      </c>
    </row>
    <row r="5" spans="1:2">
      <c r="A5" t="s">
        <v>260</v>
      </c>
      <c r="B5" t="s">
        <v>261</v>
      </c>
    </row>
    <row r="6" spans="1:2">
      <c r="A6" t="s">
        <v>262</v>
      </c>
      <c r="B6" t="s">
        <v>263</v>
      </c>
    </row>
    <row r="7" spans="1:2">
      <c r="A7" t="s">
        <v>264</v>
      </c>
      <c r="B7" t="s">
        <v>265</v>
      </c>
    </row>
    <row r="9" spans="1:2">
      <c r="A9" s="4" t="s">
        <v>266</v>
      </c>
    </row>
    <row r="10" spans="1:2">
      <c r="A10" t="s">
        <v>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 Income Statement</vt:lpstr>
      <vt:lpstr>Raw Balance Sheet</vt:lpstr>
      <vt:lpstr>Cash Flow Statement</vt:lpstr>
      <vt:lpstr>Ratio Analysis</vt:lpstr>
      <vt:lpstr>Assumptions &amp; Drivers</vt:lpstr>
      <vt:lpstr>CapEx &amp; Depreciation</vt:lpstr>
      <vt:lpstr>OpEx &amp; R&amp;D Budget</vt:lpstr>
      <vt:lpstr>Valuation &amp; Returns</vt:lpstr>
      <vt:lpstr>Sensitivity Analysis</vt:lpstr>
      <vt:lpstr>Summary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2026-02-28T09:05:09Z</dcterms:created>
  <dcterms:modified xsi:type="dcterms:W3CDTF">2026-02-28T09:05:09Z</dcterms:modified>
</cp:coreProperties>
</file>