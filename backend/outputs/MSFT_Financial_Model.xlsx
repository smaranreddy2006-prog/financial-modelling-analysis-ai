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Income Statement" sheetId="1" r:id="rId1"/>
    <sheet name="Raw Balance Sheet" sheetId="2" r:id="rId2"/>
    <sheet name="Cash Flow Statement" sheetId="3" r:id="rId3"/>
    <sheet name="Ratio Analysis" sheetId="4" r:id="rId4"/>
    <sheet name="Assumptions &amp; Drivers" sheetId="5" r:id="rId5"/>
    <sheet name="CapEx &amp; Depreciation" sheetId="6" r:id="rId6"/>
    <sheet name="OpEx &amp; R&amp;D Budget" sheetId="7" r:id="rId7"/>
    <sheet name="Valuation &amp; Returns" sheetId="8" r:id="rId8"/>
    <sheet name="Sensitivity Analysis" sheetId="9" r:id="rId9"/>
    <sheet name="Summary Dashboard" sheetId="10" r:id="rId10"/>
  </sheets>
  <calcPr calcId="124519" fullCalcOnLoad="1"/>
</workbook>
</file>

<file path=xl/sharedStrings.xml><?xml version="1.0" encoding="utf-8"?>
<sst xmlns="http://schemas.openxmlformats.org/spreadsheetml/2006/main" count="470" uniqueCount="278">
  <si>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</si>
  <si>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</si>
  <si>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</si>
  <si>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</si>
  <si>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</si>
  <si>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</si>
  <si>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</si>
  <si>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</si>
  <si>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</si>
  <si>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</si>
  <si>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</si>
  <si>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</si>
  <si>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</si>
  <si>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</si>
  <si>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</si>
  <si>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</si>
  <si>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</si>
  <si>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</si>
  <si>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</si>
  <si>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</si>
  <si>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</si>
  <si>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</si>
  <si>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</si>
  <si>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</si>
  <si>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</si>
  <si>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</si>
  <si>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</si>
  <si>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</si>
  <si>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</si>
  <si>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</si>
  <si>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</si>
  <si>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Write Off</t>
  </si>
  <si>
    <t>Gain On Sale Of Security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</si>
  <si>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</si>
  <si>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</si>
  <si>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</si>
  <si>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</si>
  <si>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</si>
  <si>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</si>
  <si>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</si>
  <si>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Selling And Marketing Expense</t>
  </si>
  <si>
    <t>General And Administrative Expense</t>
  </si>
  <si>
    <t>Other Gand A</t>
  </si>
  <si>
    <t>Gross Profit</t>
  </si>
  <si>
    <t>Cost Of Revenue</t>
  </si>
  <si>
    <t>Total Revenue</t>
  </si>
  <si>
    <t>Operating Revenue</t>
  </si>
  <si>
    <t>2022-06-30T00:00:00</t>
  </si>
  <si>
    <t>2023-06-30T00:00:00</t>
  </si>
  <si>
    <t>2024-06-30T00:00:00</t>
  </si>
  <si>
    <t>2025-06-30T00:00:00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</si>
  <si>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</si>
  <si>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</si>
  <si>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</si>
  <si>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</si>
  <si>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</si>
  <si>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</si>
  <si>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</si>
  <si>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</si>
  <si>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</si>
  <si>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</si>
  <si>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</si>
  <si>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</si>
  <si>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</si>
  <si>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</si>
  <si>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</si>
  <si>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</si>
  <si>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</si>
  <si>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</si>
  <si>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</si>
  <si>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</si>
  <si>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</si>
  <si>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</si>
  <si>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</si>
  <si>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</si>
  <si>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</si>
  <si>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</si>
  <si>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</si>
  <si>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</si>
  <si>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</si>
  <si>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</si>
  <si>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</si>
  <si>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</si>
  <si>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</si>
  <si>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Debt</t>
  </si>
  <si>
    <t>Other Current Borrowings</t>
  </si>
  <si>
    <t>Commercial Paper</t>
  </si>
  <si>
    <t>Pensionand Other Post Retirement Benefit Plans Current</t>
  </si>
  <si>
    <t>Payables And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</si>
  <si>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</si>
  <si>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</si>
  <si>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</si>
  <si>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</si>
  <si>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</si>
  <si>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</si>
  <si>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</si>
  <si>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Financial Assets</t>
  </si>
  <si>
    <t>Investments And Advances</t>
  </si>
  <si>
    <t>Investmentin Financial Assets</t>
  </si>
  <si>
    <t>Available For Sale Securities</t>
  </si>
  <si>
    <t>Long Term Equity Investment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</si>
  <si>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</si>
  <si>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</si>
  <si>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</si>
  <si>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</si>
  <si>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</si>
  <si>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</si>
  <si>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</si>
  <si>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</si>
  <si>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</si>
  <si>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</si>
  <si>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</si>
  <si>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</si>
  <si>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</si>
  <si>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</si>
  <si>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</si>
  <si>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Inventory</t>
  </si>
  <si>
    <t>Finished Goods</t>
  </si>
  <si>
    <t>Work In Process</t>
  </si>
  <si>
    <t>Raw Materials</t>
  </si>
  <si>
    <t>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</si>
  <si>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</si>
  <si>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</si>
  <si>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</si>
  <si>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</si>
  <si>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</si>
  <si>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</si>
  <si>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</si>
  <si>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</si>
  <si>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2021-06-30T00:00:00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</si>
  <si>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</si>
  <si>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</si>
  <si>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</si>
  <si>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</si>
  <si>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</si>
  <si>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</si>
  <si>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</si>
  <si>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</si>
  <si>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</si>
  <si>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</si>
  <si>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</si>
  <si>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</si>
  <si>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</si>
  <si>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</si>
  <si>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</si>
  <si>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</si>
  <si>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</si>
  <si>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</si>
  <si>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</si>
  <si>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</si>
  <si>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</si>
  <si>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</si>
  <si>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</si>
  <si>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</si>
  <si>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</si>
  <si>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</si>
  <si>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</si>
  <si>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</si>
  <si>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</si>
  <si>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</si>
  <si>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</si>
  <si>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</si>
  <si>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</si>
  <si>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</si>
  <si>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</si>
  <si>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</si>
  <si>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</si>
  <si>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</si>
  <si>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</si>
  <si>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</si>
  <si>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</si>
  <si>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</si>
  <si>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</si>
  <si>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Tax Payable</t>
  </si>
  <si>
    <t>Change In Income Tax Payable</t>
  </si>
  <si>
    <t>Change In Inventory</t>
  </si>
  <si>
    <t>Change In Receivables</t>
  </si>
  <si>
    <t>Changes In Account Receivables</t>
  </si>
  <si>
    <t>Stock Based Compensation</t>
  </si>
  <si>
    <t>Unrealized Gain Loss On Investment Securities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</si>
  <si>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</si>
  <si>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</si>
  <si>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</si>
  <si>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</si>
  <si>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</si>
  <si>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</si>
  <si>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</si>
  <si>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Gain Loss On Investment Securities</t>
  </si>
  <si>
    <t>Net Income From Continuing Operations</t>
  </si>
  <si>
    <t>Gross Profit Margin (%)</t>
  </si>
  <si>
    <t>EBITDA Margin (%)</t>
  </si>
  <si>
    <t>EBIT Margin (%)</t>
  </si>
  <si>
    <t>Net Profit Margin (%)</t>
  </si>
  <si>
    <t>Interest Coverage Ratio</t>
  </si>
  <si>
    <t>Cash Conversion Ratio</t>
  </si>
  <si>
    <t>Asset Turnover</t>
  </si>
  <si>
    <t>Asset to Equity</t>
  </si>
  <si>
    <t>Return on Equity (ROE) (%)</t>
  </si>
  <si>
    <t>Debt to Equity</t>
  </si>
  <si>
    <t>Return on Assets (ROA) (%)</t>
  </si>
  <si>
    <t>Current Ratio</t>
  </si>
  <si>
    <t>Quick Ratio</t>
  </si>
  <si>
    <t>Debt to Capital</t>
  </si>
  <si>
    <t>Inventory Days</t>
  </si>
  <si>
    <t>Receivable Days</t>
  </si>
  <si>
    <t>Payable Days</t>
  </si>
  <si>
    <t>Cash to Debt</t>
  </si>
  <si>
    <t>Revenue Growth (%)</t>
  </si>
  <si>
    <t>Debt to Assets</t>
  </si>
  <si>
    <t>% of Debt Change</t>
  </si>
  <si>
    <t>FCFF</t>
  </si>
  <si>
    <t>Operating CF Ratio</t>
  </si>
  <si>
    <t>FCF to Net 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</si>
  <si>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</si>
  <si>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</si>
  <si>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</si>
  <si>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</si>
  <si>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</si>
  <si>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</si>
  <si>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</si>
  <si>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</si>
  <si>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</si>
  <si>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</si>
  <si>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</si>
  <si>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</si>
  <si>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</si>
  <si>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</si>
  <si>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</si>
  <si>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</si>
  <si>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</si>
  <si>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</si>
  <si>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</si>
  <si>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</si>
  <si>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</si>
  <si>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</si>
  <si>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</si>
  <si>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</si>
  <si>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TAM (Total Addressable Market)</t>
  </si>
  <si>
    <t>SAM (Serviceable Available Market)</t>
  </si>
  <si>
    <t>SOM (Serviceable Obtainable Market)</t>
  </si>
  <si>
    <t>Target Unit Price</t>
  </si>
  <si>
    <t>New Customers/Month</t>
  </si>
  <si>
    <t>Infrastructure (Labs)</t>
  </si>
  <si>
    <t>Machinery &amp; Eqpt</t>
  </si>
  <si>
    <t>Total CapEx</t>
  </si>
  <si>
    <t>Depreciation Expense</t>
  </si>
  <si>
    <t>Personnel (Sci/Eng)</t>
  </si>
  <si>
    <t>Prototyping &amp; Materials</t>
  </si>
  <si>
    <t>Testing &amp; Energy</t>
  </si>
  <si>
    <t>COGS (BOM+Labor)</t>
  </si>
  <si>
    <t>SG&amp;A (Legal/Marketing)</t>
  </si>
  <si>
    <t>Total OpEx</t>
  </si>
  <si>
    <t>Revenue</t>
  </si>
  <si>
    <t>Op Cash Flow</t>
  </si>
  <si>
    <t>Ending Cash Balance</t>
  </si>
  <si>
    <t>Monthly Burn Rate</t>
  </si>
  <si>
    <t>Runway (Months)</t>
  </si>
  <si>
    <t>Discounted FCF</t>
  </si>
  <si>
    <t>Best Case</t>
  </si>
  <si>
    <t>Base Case</t>
  </si>
  <si>
    <t>Worst Case</t>
  </si>
  <si>
    <t>Cumulative 24M FCF</t>
  </si>
  <si>
    <t>NPV (15% WACC)</t>
  </si>
  <si>
    <t>IRR (Estimate)</t>
  </si>
  <si>
    <t>N/A</t>
  </si>
  <si>
    <t>MSFT Financial Summary Dashboard</t>
  </si>
  <si>
    <t>Key Metric</t>
  </si>
  <si>
    <t>Value</t>
  </si>
  <si>
    <t>5-Year Revenue CAGR</t>
  </si>
  <si>
    <t>12.42%</t>
  </si>
  <si>
    <t>Average ROE</t>
  </si>
  <si>
    <t>35.31%</t>
  </si>
  <si>
    <t>Average EBITDA Margin</t>
  </si>
  <si>
    <t>52.82%</t>
  </si>
  <si>
    <t>Latest Debt/Equity</t>
  </si>
  <si>
    <t>0.18x</t>
  </si>
  <si>
    <t>AI Intelligence Summary</t>
  </si>
  <si>
    <t>Auto-generated financial model by FinModel AI.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</si>
</sst>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Profitability Margins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'Ratio Analysis'!$A$2</c:f>
              <c:strCache>
                <c:ptCount val="1"/>
                <c:pt idx="0">
                  <c:v>Gross Profit Margin (%)</c:v>
                </c:pt>
              </c:strCache>
            </c:strRef>
          </c:tx>
          <c:marker>
            <c:symbol val="circle"/>
          </c:marke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Analysis'!$B$2:$E$2</c:f>
              <c:numCache>
                <c:formatCode>General</c:formatCode>
                <c:ptCount val="4"/>
                <c:pt idx="0">
                  <c:v>68.4016744842891</c:v>
                </c:pt>
                <c:pt idx="1">
                  <c:v>68.92008588349103</c:v>
                </c:pt>
                <c:pt idx="2">
                  <c:v>69.76444382797138</c:v>
                </c:pt>
                <c:pt idx="3">
                  <c:v>68.82374238616519</c:v>
                </c:pt>
              </c:numCache>
            </c:numRef>
          </c:val>
        </c:ser>
        <c:ser>
          <c:idx val="1"/>
          <c:order val="1"/>
          <c:tx>
            <c:strRef>
              <c:f>'Ratio Analysis'!$A$3</c:f>
              <c:strCache>
                <c:ptCount val="1"/>
                <c:pt idx="0">
                  <c:v>EBITDA Margin (%)</c:v>
                </c:pt>
              </c:strCache>
            </c:strRef>
          </c:tx>
          <c:marker>
            <c:symbol val="circle"/>
          </c:marke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Analysis'!$B$3:$E$3</c:f>
              <c:numCache>
                <c:formatCode>General</c:formatCode>
                <c:ptCount val="4"/>
                <c:pt idx="0">
                  <c:v>50.55681646239976</c:v>
                </c:pt>
                <c:pt idx="1">
                  <c:v>49.61423212136942</c:v>
                </c:pt>
                <c:pt idx="2">
                  <c:v>54.26236731097168</c:v>
                </c:pt>
                <c:pt idx="3">
                  <c:v>56.85174142068124</c:v>
                </c:pt>
              </c:numCache>
            </c:numRef>
          </c:val>
        </c:ser>
        <c:ser>
          <c:idx val="2"/>
          <c:order val="2"/>
          <c:tx>
            <c:strRef>
              <c:f>'Ratio Analysis'!$A$4</c:f>
              <c:strCache>
                <c:ptCount val="1"/>
                <c:pt idx="0">
                  <c:v>EBIT Margin (%)</c:v>
                </c:pt>
              </c:strCache>
            </c:strRef>
          </c:tx>
          <c:marker>
            <c:symbol val="circle"/>
          </c:marke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Analysis'!$B$4:$E$4</c:f>
              <c:numCache>
                <c:formatCode>General</c:formatCode>
                <c:ptCount val="4"/>
                <c:pt idx="0">
                  <c:v>43.26373127553336</c:v>
                </c:pt>
                <c:pt idx="1">
                  <c:v>43.07340207158531</c:v>
                </c:pt>
                <c:pt idx="2">
                  <c:v>45.17016016514226</c:v>
                </c:pt>
                <c:pt idx="3">
                  <c:v>44.72888358819269</c:v>
                </c:pt>
              </c:numCache>
            </c:numRef>
          </c:val>
        </c:ser>
        <c:ser>
          <c:idx val="3"/>
          <c:order val="3"/>
          <c:tx>
            <c:strRef>
              <c:f>'Ratio Analysis'!$A$5</c:f>
              <c:strCache>
                <c:ptCount val="1"/>
                <c:pt idx="0">
                  <c:v>Net Profit Margin (%)</c:v>
                </c:pt>
              </c:strCache>
            </c:strRef>
          </c:tx>
          <c:marker>
            <c:symbol val="circle"/>
          </c:marke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Analysis'!$B$5:$E$5</c:f>
              <c:numCache>
                <c:formatCode>General</c:formatCode>
                <c:ptCount val="4"/>
                <c:pt idx="0">
                  <c:v>36.68633681343622</c:v>
                </c:pt>
                <c:pt idx="1">
                  <c:v>34.14623787839464</c:v>
                </c:pt>
                <c:pt idx="2">
                  <c:v>35.95597294408498</c:v>
                </c:pt>
                <c:pt idx="3">
                  <c:v>36.14601524896707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Return on Assets &amp; Equity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'Ratio Analysis'!$A$12</c:f>
              <c:strCache>
                <c:ptCount val="1"/>
                <c:pt idx="0">
                  <c:v>Return on Assets (ROA) (%)</c:v>
                </c:pt>
              </c:strCache>
            </c:strRef>
          </c:tx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Analysis'!$B$12:$E$12</c:f>
              <c:numCache>
                <c:formatCode>General</c:formatCode>
                <c:ptCount val="4"/>
                <c:pt idx="0">
                  <c:v>19.93695866681285</c:v>
                </c:pt>
                <c:pt idx="1">
                  <c:v>17.5643726819038</c:v>
                </c:pt>
                <c:pt idx="2">
                  <c:v>17.2085839859576</c:v>
                </c:pt>
                <c:pt idx="3">
                  <c:v>16.45097035070912</c:v>
                </c:pt>
              </c:numCache>
            </c:numRef>
          </c:val>
        </c:ser>
        <c:ser>
          <c:idx val="1"/>
          <c:order val="1"/>
          <c:tx>
            <c:strRef>
              <c:f>'Ratio Analysis'!$A$10</c:f>
              <c:strCache>
                <c:ptCount val="1"/>
                <c:pt idx="0">
                  <c:v>Return on Equity (ROE) (%)</c:v>
                </c:pt>
              </c:strCache>
            </c:strRef>
          </c:tx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Analysis'!$B$10:$E$10</c:f>
              <c:numCache>
                <c:formatCode>General</c:formatCode>
                <c:ptCount val="4"/>
                <c:pt idx="0">
                  <c:v>43.67546925099975</c:v>
                </c:pt>
                <c:pt idx="1">
                  <c:v>35.08871464385641</c:v>
                </c:pt>
                <c:pt idx="2">
                  <c:v>32.82813797829981</c:v>
                </c:pt>
                <c:pt idx="3">
                  <c:v>29.64722734140952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Liquidity Ratios (Current / Quick)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'Ratio Analysis'!$A$13</c:f>
              <c:strCache>
                <c:ptCount val="1"/>
                <c:pt idx="0">
                  <c:v>Current Ratio</c:v>
                </c:pt>
              </c:strCache>
            </c:strRef>
          </c:tx>
          <c:marker>
            <c:symbol val="diamond"/>
          </c:marke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Analysis'!$B$13:$E$13</c:f>
              <c:numCache>
                <c:formatCode>General</c:formatCode>
                <c:ptCount val="4"/>
                <c:pt idx="0">
                  <c:v>1.784606970825182</c:v>
                </c:pt>
                <c:pt idx="1">
                  <c:v>1.76916725076573</c:v>
                </c:pt>
                <c:pt idx="2">
                  <c:v>1.274954903181521</c:v>
                </c:pt>
                <c:pt idx="3">
                  <c:v>1.353446444504242</c:v>
                </c:pt>
              </c:numCache>
            </c:numRef>
          </c:val>
        </c:ser>
        <c:ser>
          <c:idx val="1"/>
          <c:order val="1"/>
          <c:tx>
            <c:strRef>
              <c:f>'Ratio Analysis'!$A$14</c:f>
              <c:strCache>
                <c:ptCount val="1"/>
                <c:pt idx="0">
                  <c:v>Quick Ratio</c:v>
                </c:pt>
              </c:strCache>
            </c:strRef>
          </c:tx>
          <c:marker>
            <c:symbol val="diamond"/>
          </c:marke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Analysis'!$B$14:$E$14</c:f>
              <c:numCache>
                <c:formatCode>General</c:formatCode>
                <c:ptCount val="4"/>
                <c:pt idx="0">
                  <c:v>1.745251467154666</c:v>
                </c:pt>
                <c:pt idx="1">
                  <c:v>1.745163179675273</c:v>
                </c:pt>
                <c:pt idx="2">
                  <c:v>1.265009657902719</c:v>
                </c:pt>
                <c:pt idx="3">
                  <c:v>1.346804231755159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YoY Growth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'Ratio Analysis'!$A$21</c:f>
              <c:strCache>
                <c:ptCount val="1"/>
                <c:pt idx="0">
                  <c:v>Revenue Growth (%)</c:v>
                </c:pt>
              </c:strCache>
            </c:strRef>
          </c:tx>
          <c:spPr>
            <a:solidFill>
              <a:srgbClr val="2563EB"/>
            </a:solidFill>
          </c:spPr>
          <c:cat>
            <c:strRef>
              <c:f>'Ratio Analysis'!$B$1:$E$1</c:f>
              <c:strCache>
                <c:ptCount val="4"/>
                <c:pt idx="0">
                  <c:v>2022-06-30T00:00:00</c:v>
                </c:pt>
                <c:pt idx="1">
                  <c:v>2023-06-30T00:00:00</c:v>
                </c:pt>
                <c:pt idx="2">
                  <c:v>2024-06-30T00:00:00</c:v>
                </c:pt>
                <c:pt idx="3">
                  <c:v>2025-06-30T00:00:00</c:v>
                </c:pt>
              </c:strCache>
            </c:strRef>
          </c:cat>
          <c:val>
            <c:numRef>
              <c:f>'Ratio Analysis'!$B$21:$E$21</c:f>
              <c:numCache>
                <c:formatCode>General</c:formatCode>
                <c:ptCount val="4"/>
                <c:pt idx="0">
                  <c:v>0</c:v>
                </c:pt>
                <c:pt idx="1">
                  <c:v>6.882029555656421</c:v>
                </c:pt>
                <c:pt idx="2">
                  <c:v>15.66996201307127</c:v>
                </c:pt>
                <c:pt idx="3">
                  <c:v>14.93215623240671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6</xdr:col>
      <xdr:colOff>114300</xdr:colOff>
      <xdr:row>45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18</xdr:col>
      <xdr:colOff>228600</xdr:colOff>
      <xdr:row>45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6</xdr:col>
      <xdr:colOff>114300</xdr:colOff>
      <xdr:row>65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18</xdr:col>
      <xdr:colOff>228600</xdr:colOff>
      <xdr:row>65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5" width="18.7109375" style="1" customWidth="1"/>
  </cols>
  <sheetData>
    <row r="1" spans="1:5"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t="s">
        <v>0</v>
      </c>
      <c r="B2" s="1">
        <v>43754000</v>
      </c>
      <c r="C2" s="1">
        <v>-2850000</v>
      </c>
      <c r="D2" s="1">
        <v>-99918000</v>
      </c>
      <c r="E2" s="1">
        <v>-77088000</v>
      </c>
    </row>
    <row r="3" spans="1:5">
      <c r="A3" t="s">
        <v>1</v>
      </c>
      <c r="B3" s="1">
        <v>0.131</v>
      </c>
      <c r="C3" s="1">
        <v>0.19</v>
      </c>
      <c r="D3" s="1">
        <v>0.182</v>
      </c>
      <c r="E3" s="1">
        <v>0.176</v>
      </c>
    </row>
    <row r="4" spans="1:5">
      <c r="A4" t="s">
        <v>2</v>
      </c>
      <c r="B4" s="1">
        <v>99905000000</v>
      </c>
      <c r="C4" s="1">
        <v>105155000000</v>
      </c>
      <c r="D4" s="1">
        <v>133558000000</v>
      </c>
      <c r="E4" s="1">
        <v>160603000000</v>
      </c>
    </row>
    <row r="5" spans="1:5">
      <c r="A5" t="s">
        <v>3</v>
      </c>
      <c r="B5" s="1">
        <v>334000000</v>
      </c>
      <c r="C5" s="1">
        <v>-15000000</v>
      </c>
      <c r="D5" s="1">
        <v>-549000000</v>
      </c>
      <c r="E5" s="1">
        <v>-438000000</v>
      </c>
    </row>
    <row r="6" spans="1:5">
      <c r="A6" t="s">
        <v>4</v>
      </c>
      <c r="B6" s="1">
        <v>334000000</v>
      </c>
      <c r="C6" s="1">
        <v>-15000000</v>
      </c>
      <c r="D6" s="1">
        <v>-549000000</v>
      </c>
      <c r="E6" s="1">
        <v>-438000000</v>
      </c>
    </row>
    <row r="7" spans="1:5">
      <c r="A7" t="s">
        <v>5</v>
      </c>
      <c r="B7" s="1">
        <v>72738000000</v>
      </c>
      <c r="C7" s="1">
        <v>72361000000</v>
      </c>
      <c r="D7" s="1">
        <v>88136000000</v>
      </c>
      <c r="E7" s="1">
        <v>101832000000</v>
      </c>
    </row>
    <row r="8" spans="1:5">
      <c r="A8" t="s">
        <v>6</v>
      </c>
      <c r="B8" s="1">
        <v>14460000000</v>
      </c>
      <c r="C8" s="1">
        <v>13861000000</v>
      </c>
      <c r="D8" s="1">
        <v>22287000000</v>
      </c>
      <c r="E8" s="1">
        <v>34153000000</v>
      </c>
    </row>
    <row r="9" spans="1:5">
      <c r="A9" t="s">
        <v>7</v>
      </c>
      <c r="B9" s="1">
        <v>62650000000</v>
      </c>
      <c r="C9" s="1">
        <v>65863000000</v>
      </c>
      <c r="D9" s="1">
        <v>74114000000</v>
      </c>
      <c r="E9" s="1">
        <v>87831000000</v>
      </c>
    </row>
    <row r="10" spans="1:5">
      <c r="A10" t="s">
        <v>8</v>
      </c>
      <c r="B10" s="1">
        <v>100239000000</v>
      </c>
      <c r="C10" s="1">
        <v>105140000000</v>
      </c>
      <c r="D10" s="1">
        <v>133009000000</v>
      </c>
      <c r="E10" s="1">
        <v>160165000000</v>
      </c>
    </row>
    <row r="11" spans="1:5">
      <c r="A11" t="s">
        <v>9</v>
      </c>
      <c r="B11" s="1">
        <v>85779000000</v>
      </c>
      <c r="C11" s="1">
        <v>91279000000</v>
      </c>
      <c r="D11" s="1">
        <v>110722000000</v>
      </c>
      <c r="E11" s="1">
        <v>126012000000</v>
      </c>
    </row>
    <row r="12" spans="1:5">
      <c r="A12" t="s">
        <v>10</v>
      </c>
      <c r="B12" s="1">
        <v>31000000</v>
      </c>
      <c r="C12" s="1">
        <v>1026000000</v>
      </c>
      <c r="D12" s="1">
        <v>222000000</v>
      </c>
      <c r="E12" s="1">
        <v>262000000</v>
      </c>
    </row>
    <row r="13" spans="1:5">
      <c r="A13" t="s">
        <v>11</v>
      </c>
      <c r="B13" s="1">
        <v>2063000000</v>
      </c>
      <c r="C13" s="1">
        <v>1968000000</v>
      </c>
      <c r="D13" s="1">
        <v>2935000000</v>
      </c>
      <c r="E13" s="1">
        <v>2385000000</v>
      </c>
    </row>
    <row r="14" spans="1:5">
      <c r="A14" t="s">
        <v>12</v>
      </c>
      <c r="B14" s="1">
        <v>2094000000</v>
      </c>
      <c r="C14" s="1">
        <v>2994000000</v>
      </c>
      <c r="D14" s="1">
        <v>3157000000</v>
      </c>
      <c r="E14" s="1">
        <v>2647000000</v>
      </c>
    </row>
    <row r="15" spans="1:5">
      <c r="A15" t="s">
        <v>13</v>
      </c>
      <c r="B15" s="1">
        <v>72447754000</v>
      </c>
      <c r="C15" s="1">
        <v>72373150000</v>
      </c>
      <c r="D15" s="1">
        <v>88585082000</v>
      </c>
      <c r="E15" s="1">
        <v>102192912000</v>
      </c>
    </row>
    <row r="16" spans="1:5">
      <c r="A16" t="s">
        <v>14</v>
      </c>
      <c r="B16" s="1">
        <v>72738000000</v>
      </c>
      <c r="C16" s="1">
        <v>72361000000</v>
      </c>
      <c r="D16" s="1">
        <v>88136000000</v>
      </c>
      <c r="E16" s="1">
        <v>101832000000</v>
      </c>
    </row>
    <row r="17" spans="1:5">
      <c r="A17" t="s">
        <v>15</v>
      </c>
      <c r="B17" s="1">
        <v>114887000000</v>
      </c>
      <c r="C17" s="1">
        <v>123392000000</v>
      </c>
      <c r="D17" s="1">
        <v>135689000000</v>
      </c>
      <c r="E17" s="1">
        <v>153196000000</v>
      </c>
    </row>
    <row r="18" spans="1:5">
      <c r="A18" t="s">
        <v>16</v>
      </c>
      <c r="B18" s="1">
        <v>83383000000</v>
      </c>
      <c r="C18" s="1">
        <v>88523000000</v>
      </c>
      <c r="D18" s="1">
        <v>109433000000</v>
      </c>
      <c r="E18" s="1">
        <v>128528000000</v>
      </c>
    </row>
    <row r="19" spans="1:5">
      <c r="A19" t="s">
        <v>17</v>
      </c>
      <c r="B19" s="1">
        <v>7540000000</v>
      </c>
      <c r="C19" s="1">
        <v>7472000000</v>
      </c>
      <c r="D19" s="1">
        <v>7469000000</v>
      </c>
      <c r="E19" s="1">
        <v>7465000000</v>
      </c>
    </row>
    <row r="20" spans="1:5">
      <c r="A20" t="s">
        <v>18</v>
      </c>
      <c r="B20" s="1">
        <v>7496000000</v>
      </c>
      <c r="C20" s="1">
        <v>7446000000</v>
      </c>
      <c r="D20" s="1">
        <v>7431000000</v>
      </c>
      <c r="E20" s="1">
        <v>7433000000</v>
      </c>
    </row>
    <row r="21" spans="1:5">
      <c r="A21" t="s">
        <v>19</v>
      </c>
      <c r="B21" s="1">
        <v>9.65</v>
      </c>
      <c r="C21" s="1">
        <v>9.68</v>
      </c>
      <c r="D21" s="1">
        <v>11.8</v>
      </c>
      <c r="E21" s="1">
        <v>13.64</v>
      </c>
    </row>
    <row r="22" spans="1:5">
      <c r="A22" t="s">
        <v>20</v>
      </c>
      <c r="B22" s="1">
        <v>9.699999999999999</v>
      </c>
      <c r="C22" s="1">
        <v>9.720000000000001</v>
      </c>
      <c r="D22" s="1">
        <v>11.86</v>
      </c>
      <c r="E22" s="1">
        <v>13.7</v>
      </c>
    </row>
    <row r="23" spans="1:5">
      <c r="A23" t="s">
        <v>21</v>
      </c>
      <c r="B23" s="1">
        <v>72738000000</v>
      </c>
      <c r="C23" s="1">
        <v>72361000000</v>
      </c>
      <c r="D23" s="1">
        <v>88136000000</v>
      </c>
      <c r="E23" s="1">
        <v>101832000000</v>
      </c>
    </row>
    <row r="24" spans="1:5">
      <c r="A24" t="s">
        <v>22</v>
      </c>
      <c r="B24" s="1">
        <v>72738000000</v>
      </c>
      <c r="C24" s="1">
        <v>72361000000</v>
      </c>
      <c r="D24" s="1">
        <v>88136000000</v>
      </c>
      <c r="E24" s="1">
        <v>101832000000</v>
      </c>
    </row>
    <row r="25" spans="1:5">
      <c r="A25" t="s">
        <v>23</v>
      </c>
      <c r="B25" s="1">
        <v>72738000000</v>
      </c>
      <c r="C25" s="1">
        <v>72361000000</v>
      </c>
      <c r="D25" s="1">
        <v>88136000000</v>
      </c>
      <c r="E25" s="1">
        <v>101832000000</v>
      </c>
    </row>
    <row r="26" spans="1:5">
      <c r="A26" t="s">
        <v>24</v>
      </c>
      <c r="B26" s="1">
        <v>72738000000</v>
      </c>
      <c r="C26" s="1">
        <v>72361000000</v>
      </c>
      <c r="D26" s="1">
        <v>88136000000</v>
      </c>
      <c r="E26" s="1">
        <v>101832000000</v>
      </c>
    </row>
    <row r="27" spans="1:5">
      <c r="A27" t="s">
        <v>25</v>
      </c>
      <c r="B27" s="1">
        <v>72738000000</v>
      </c>
      <c r="C27" s="1">
        <v>72361000000</v>
      </c>
      <c r="D27" s="1">
        <v>88136000000</v>
      </c>
      <c r="E27" s="1">
        <v>101832000000</v>
      </c>
    </row>
    <row r="28" spans="1:5">
      <c r="A28" t="s">
        <v>26</v>
      </c>
      <c r="B28" s="1">
        <v>10978000000</v>
      </c>
      <c r="C28" s="1">
        <v>16950000000</v>
      </c>
      <c r="D28" s="1">
        <v>19651000000</v>
      </c>
      <c r="E28" s="1">
        <v>21795000000</v>
      </c>
    </row>
    <row r="29" spans="1:5">
      <c r="A29" t="s">
        <v>27</v>
      </c>
      <c r="B29" s="1">
        <v>83716000000</v>
      </c>
      <c r="C29" s="1">
        <v>89311000000</v>
      </c>
      <c r="D29" s="1">
        <v>107787000000</v>
      </c>
      <c r="E29" s="1">
        <v>123627000000</v>
      </c>
    </row>
    <row r="30" spans="1:5">
      <c r="A30" t="s">
        <v>28</v>
      </c>
      <c r="B30" s="1">
        <v>302000000</v>
      </c>
      <c r="C30" s="1">
        <v>-238000000</v>
      </c>
      <c r="D30" s="1">
        <v>-1868000000</v>
      </c>
      <c r="E30" s="1">
        <v>-5163000000</v>
      </c>
    </row>
    <row r="31" spans="1:5">
      <c r="A31" t="s">
        <v>29</v>
      </c>
      <c r="B31" s="1">
        <v>-32000000</v>
      </c>
      <c r="C31" s="1">
        <v>-223000000</v>
      </c>
      <c r="D31" s="1">
        <v>-1319000000</v>
      </c>
      <c r="E31" s="1">
        <v>-4725000000</v>
      </c>
    </row>
    <row r="32" spans="1:5">
      <c r="A32" t="s">
        <v>30</v>
      </c>
      <c r="B32" s="1">
        <v>-101000000</v>
      </c>
      <c r="C32" s="1">
        <v>-30000000</v>
      </c>
      <c r="D32" s="1">
        <v>-206000000</v>
      </c>
      <c r="E32" s="1">
        <v>-943000000</v>
      </c>
    </row>
    <row r="33" spans="1:5">
      <c r="A33" t="s">
        <v>31</v>
      </c>
      <c r="B33" s="1">
        <v>101000000</v>
      </c>
      <c r="C33" s="1">
        <v>30000000</v>
      </c>
      <c r="D33" s="1">
        <v>206000000</v>
      </c>
      <c r="E33" s="1">
        <v>943000000</v>
      </c>
    </row>
    <row r="34" spans="1:5">
      <c r="A34" t="s">
        <v>32</v>
      </c>
      <c r="B34" s="1">
        <v>435000000</v>
      </c>
      <c r="C34" s="1">
        <v>15000000</v>
      </c>
      <c r="D34" s="1">
        <v>-343000000</v>
      </c>
      <c r="E34" s="1">
        <v>505000000</v>
      </c>
    </row>
    <row r="35" spans="1:5">
      <c r="A35" t="s">
        <v>33</v>
      </c>
      <c r="B35" s="1">
        <v>31000000</v>
      </c>
      <c r="C35" s="1">
        <v>1026000000</v>
      </c>
      <c r="D35" s="1">
        <v>222000000</v>
      </c>
      <c r="E35" s="1">
        <v>262000000</v>
      </c>
    </row>
    <row r="36" spans="1:5">
      <c r="A36" t="s">
        <v>34</v>
      </c>
      <c r="B36" s="1">
        <v>2063000000</v>
      </c>
      <c r="C36" s="1">
        <v>1968000000</v>
      </c>
      <c r="D36" s="1">
        <v>2935000000</v>
      </c>
      <c r="E36" s="1">
        <v>2385000000</v>
      </c>
    </row>
    <row r="37" spans="1:5">
      <c r="A37" t="s">
        <v>35</v>
      </c>
      <c r="B37" s="1">
        <v>2094000000</v>
      </c>
      <c r="C37" s="1">
        <v>2994000000</v>
      </c>
      <c r="D37" s="1">
        <v>3157000000</v>
      </c>
      <c r="E37" s="1">
        <v>2647000000</v>
      </c>
    </row>
    <row r="38" spans="1:5">
      <c r="A38" t="s">
        <v>36</v>
      </c>
      <c r="B38" s="1">
        <v>83383000000</v>
      </c>
      <c r="C38" s="1">
        <v>88523000000</v>
      </c>
      <c r="D38" s="1">
        <v>109433000000</v>
      </c>
      <c r="E38" s="1">
        <v>128528000000</v>
      </c>
    </row>
    <row r="39" spans="1:5">
      <c r="A39" t="s">
        <v>37</v>
      </c>
      <c r="B39" s="1">
        <v>52237000000</v>
      </c>
      <c r="C39" s="1">
        <v>57529000000</v>
      </c>
      <c r="D39" s="1">
        <v>61575000000</v>
      </c>
      <c r="E39" s="1">
        <v>65365000000</v>
      </c>
    </row>
    <row r="40" spans="1:5">
      <c r="A40" t="s">
        <v>38</v>
      </c>
      <c r="B40" s="1">
        <v>24512000000</v>
      </c>
      <c r="C40" s="1">
        <v>27195000000</v>
      </c>
      <c r="D40" s="1">
        <v>29510000000</v>
      </c>
      <c r="E40" s="1">
        <v>32488000000</v>
      </c>
    </row>
    <row r="41" spans="1:5">
      <c r="A41" t="s">
        <v>39</v>
      </c>
      <c r="B41" s="1">
        <v>27725000000</v>
      </c>
      <c r="C41" s="1">
        <v>30334000000</v>
      </c>
      <c r="D41" s="1">
        <v>32065000000</v>
      </c>
      <c r="E41" s="1">
        <v>32877000000</v>
      </c>
    </row>
    <row r="42" spans="1:5">
      <c r="A42" t="s">
        <v>40</v>
      </c>
      <c r="B42" s="1">
        <v>21825000000</v>
      </c>
      <c r="C42" s="1">
        <v>22759000000</v>
      </c>
      <c r="D42" s="1">
        <v>24456000000</v>
      </c>
      <c r="E42" s="1">
        <v>25654000000</v>
      </c>
    </row>
    <row r="43" spans="1:5">
      <c r="A43" t="s">
        <v>41</v>
      </c>
      <c r="B43" s="1">
        <v>5900000000</v>
      </c>
      <c r="C43" s="1">
        <v>7575000000</v>
      </c>
      <c r="D43" s="1">
        <v>7609000000</v>
      </c>
      <c r="E43" s="1">
        <v>7223000000</v>
      </c>
    </row>
    <row r="44" spans="1:5">
      <c r="A44" t="s">
        <v>42</v>
      </c>
      <c r="B44" s="1">
        <v>5900000000</v>
      </c>
      <c r="C44" s="1">
        <v>7575000000</v>
      </c>
      <c r="D44" s="1">
        <v>7609000000</v>
      </c>
      <c r="E44" s="1">
        <v>7223000000</v>
      </c>
    </row>
    <row r="45" spans="1:5">
      <c r="A45" t="s">
        <v>43</v>
      </c>
      <c r="B45" s="1">
        <v>135620000000</v>
      </c>
      <c r="C45" s="1">
        <v>146052000000</v>
      </c>
      <c r="D45" s="1">
        <v>171008000000</v>
      </c>
      <c r="E45" s="1">
        <v>193893000000</v>
      </c>
    </row>
    <row r="46" spans="1:5">
      <c r="A46" t="s">
        <v>44</v>
      </c>
      <c r="B46" s="1">
        <v>62650000000</v>
      </c>
      <c r="C46" s="1">
        <v>65863000000</v>
      </c>
      <c r="D46" s="1">
        <v>74114000000</v>
      </c>
      <c r="E46" s="1">
        <v>87831000000</v>
      </c>
    </row>
    <row r="47" spans="1:5">
      <c r="A47" t="s">
        <v>45</v>
      </c>
      <c r="B47" s="1">
        <v>198270000000</v>
      </c>
      <c r="C47" s="1">
        <v>211915000000</v>
      </c>
      <c r="D47" s="1">
        <v>245122000000</v>
      </c>
      <c r="E47" s="1">
        <v>281724000000</v>
      </c>
    </row>
    <row r="48" spans="1:5">
      <c r="A48" t="s">
        <v>46</v>
      </c>
      <c r="B48" s="1">
        <v>198270000000</v>
      </c>
      <c r="C48" s="1">
        <v>211915000000</v>
      </c>
      <c r="D48" s="1">
        <v>245122000000</v>
      </c>
      <c r="E48" s="1">
        <v>281724000000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129</v>
      </c>
      <c r="C1" s="2" t="s">
        <v>47</v>
      </c>
      <c r="D1" s="2" t="s">
        <v>48</v>
      </c>
      <c r="E1" s="2" t="s">
        <v>49</v>
      </c>
      <c r="F1" s="2" t="s">
        <v>50</v>
      </c>
    </row>
    <row r="2" spans="1:6">
      <c r="A2" t="s">
        <v>51</v>
      </c>
      <c r="C2" s="1">
        <v>7464000000</v>
      </c>
      <c r="D2" s="1">
        <v>7432000000</v>
      </c>
      <c r="E2" s="1">
        <v>7434138859</v>
      </c>
      <c r="F2" s="1">
        <v>7434158655</v>
      </c>
    </row>
    <row r="3" spans="1:6">
      <c r="A3" t="s">
        <v>52</v>
      </c>
      <c r="C3" s="1">
        <v>7464000000</v>
      </c>
      <c r="D3" s="1">
        <v>7432000000</v>
      </c>
      <c r="E3" s="1">
        <v>7434138859</v>
      </c>
      <c r="F3" s="1">
        <v>7434158655</v>
      </c>
    </row>
    <row r="4" spans="1:6">
      <c r="A4" t="s">
        <v>53</v>
      </c>
      <c r="C4" s="1">
        <v>35850000000</v>
      </c>
      <c r="D4" s="1">
        <v>12533000000</v>
      </c>
      <c r="E4" s="1">
        <v>33315000000</v>
      </c>
      <c r="F4" s="1">
        <v>12909000000</v>
      </c>
    </row>
    <row r="5" spans="1:6">
      <c r="A5" t="s">
        <v>54</v>
      </c>
      <c r="C5" s="1">
        <v>61270000000</v>
      </c>
      <c r="D5" s="1">
        <v>59965000000</v>
      </c>
      <c r="E5" s="1">
        <v>67127000000</v>
      </c>
      <c r="F5" s="1">
        <v>60588000000</v>
      </c>
    </row>
    <row r="6" spans="1:6">
      <c r="A6" t="s">
        <v>55</v>
      </c>
      <c r="C6" s="1">
        <v>87720000000</v>
      </c>
      <c r="D6" s="1">
        <v>128971000000</v>
      </c>
      <c r="E6" s="1">
        <v>121660000000</v>
      </c>
      <c r="F6" s="1">
        <v>201366000000</v>
      </c>
    </row>
    <row r="7" spans="1:6">
      <c r="A7" t="s">
        <v>56</v>
      </c>
      <c r="C7" s="1">
        <v>216323000000</v>
      </c>
      <c r="D7" s="1">
        <v>253460000000</v>
      </c>
      <c r="E7" s="1">
        <v>320107000000</v>
      </c>
      <c r="F7" s="1">
        <v>386630000000</v>
      </c>
    </row>
    <row r="8" spans="1:6">
      <c r="A8" t="s">
        <v>57</v>
      </c>
      <c r="C8" s="1">
        <v>74602000000</v>
      </c>
      <c r="D8" s="1">
        <v>80108000000</v>
      </c>
      <c r="E8" s="1">
        <v>34448000000</v>
      </c>
      <c r="F8" s="1">
        <v>49913000000</v>
      </c>
    </row>
    <row r="9" spans="1:6">
      <c r="A9" t="s">
        <v>58</v>
      </c>
      <c r="C9" s="1">
        <v>87720000000</v>
      </c>
      <c r="D9" s="1">
        <v>128971000000</v>
      </c>
      <c r="E9" s="1">
        <v>121660000000</v>
      </c>
      <c r="F9" s="1">
        <v>201366000000</v>
      </c>
    </row>
    <row r="10" spans="1:6">
      <c r="A10" t="s">
        <v>59</v>
      </c>
      <c r="C10" s="1">
        <v>11489000000</v>
      </c>
      <c r="D10" s="1">
        <v>12728000000</v>
      </c>
      <c r="E10" s="1">
        <v>15497000000</v>
      </c>
      <c r="F10" s="1">
        <v>17437000000</v>
      </c>
    </row>
    <row r="11" spans="1:6">
      <c r="A11" t="s">
        <v>60</v>
      </c>
      <c r="C11" s="1">
        <v>166542000000</v>
      </c>
      <c r="D11" s="1">
        <v>206223000000</v>
      </c>
      <c r="E11" s="1">
        <v>268477000000</v>
      </c>
      <c r="F11" s="1">
        <v>343479000000</v>
      </c>
    </row>
    <row r="12" spans="1:6">
      <c r="A12" t="s">
        <v>61</v>
      </c>
      <c r="C12" s="1">
        <v>213574000000</v>
      </c>
      <c r="D12" s="1">
        <v>248213000000</v>
      </c>
      <c r="E12" s="1">
        <v>311165000000</v>
      </c>
      <c r="F12" s="1">
        <v>383631000000</v>
      </c>
    </row>
    <row r="13" spans="1:6">
      <c r="A13" t="s">
        <v>62</v>
      </c>
      <c r="C13" s="1">
        <v>166542000000</v>
      </c>
      <c r="D13" s="1">
        <v>206223000000</v>
      </c>
      <c r="E13" s="1">
        <v>268477000000</v>
      </c>
      <c r="F13" s="1">
        <v>343479000000</v>
      </c>
    </row>
    <row r="14" spans="1:6">
      <c r="A14" t="s">
        <v>63</v>
      </c>
      <c r="C14" s="1">
        <v>166542000000</v>
      </c>
      <c r="D14" s="1">
        <v>206223000000</v>
      </c>
      <c r="E14" s="1">
        <v>268477000000</v>
      </c>
      <c r="F14" s="1">
        <v>343479000000</v>
      </c>
    </row>
    <row r="15" spans="1:6">
      <c r="A15" t="s">
        <v>64</v>
      </c>
      <c r="C15" s="1">
        <v>-4678000000</v>
      </c>
      <c r="D15" s="1">
        <v>-6343000000</v>
      </c>
      <c r="E15" s="1">
        <v>-5590000000</v>
      </c>
      <c r="F15" s="1">
        <v>-3347000000</v>
      </c>
    </row>
    <row r="16" spans="1:6">
      <c r="A16" t="s">
        <v>65</v>
      </c>
      <c r="C16" s="1">
        <v>-4678000000</v>
      </c>
      <c r="D16" s="1">
        <v>-6343000000</v>
      </c>
      <c r="E16" s="1">
        <v>-5590000000</v>
      </c>
      <c r="F16" s="1">
        <v>-3347000000</v>
      </c>
    </row>
    <row r="17" spans="1:6">
      <c r="A17" t="s">
        <v>66</v>
      </c>
      <c r="C17" s="1">
        <v>84281000000</v>
      </c>
      <c r="D17" s="1">
        <v>118848000000</v>
      </c>
      <c r="E17" s="1">
        <v>173144000000</v>
      </c>
      <c r="F17" s="1">
        <v>237731000000</v>
      </c>
    </row>
    <row r="18" spans="1:6">
      <c r="A18" t="s">
        <v>67</v>
      </c>
      <c r="C18" s="1">
        <v>86939000000</v>
      </c>
      <c r="D18" s="1">
        <v>93718000000</v>
      </c>
      <c r="E18" s="1">
        <v>100923000000</v>
      </c>
      <c r="F18" s="1">
        <v>109095000000</v>
      </c>
    </row>
    <row r="19" spans="1:6">
      <c r="A19" t="s">
        <v>68</v>
      </c>
      <c r="C19" s="1">
        <v>86939000000</v>
      </c>
      <c r="D19" s="1">
        <v>93718000000</v>
      </c>
      <c r="E19" s="1">
        <v>100923000000</v>
      </c>
      <c r="F19" s="1">
        <v>109095000000</v>
      </c>
    </row>
    <row r="20" spans="1:6">
      <c r="A20" t="s">
        <v>69</v>
      </c>
      <c r="C20" s="1">
        <v>198298000000</v>
      </c>
      <c r="D20" s="1">
        <v>205753000000</v>
      </c>
      <c r="E20" s="1">
        <v>243686000000</v>
      </c>
      <c r="F20" s="1">
        <v>275524000000</v>
      </c>
    </row>
    <row r="21" spans="1:6">
      <c r="A21" t="s">
        <v>70</v>
      </c>
      <c r="C21" s="1">
        <v>103216000000</v>
      </c>
      <c r="D21" s="1">
        <v>101604000000</v>
      </c>
      <c r="E21" s="1">
        <v>118400000000</v>
      </c>
      <c r="F21" s="1">
        <v>134306000000</v>
      </c>
    </row>
    <row r="22" spans="1:6">
      <c r="A22" t="s">
        <v>71</v>
      </c>
      <c r="C22" s="1">
        <v>15526000000</v>
      </c>
      <c r="D22" s="1">
        <v>17981000000</v>
      </c>
      <c r="E22" s="1">
        <v>27064000000</v>
      </c>
      <c r="F22" s="1">
        <v>45186000000</v>
      </c>
    </row>
    <row r="23" spans="1:6">
      <c r="A23" t="s">
        <v>72</v>
      </c>
      <c r="C23" s="1">
        <v>26069000000</v>
      </c>
      <c r="D23" s="1">
        <v>25560000000</v>
      </c>
      <c r="E23" s="1">
        <v>27931000000</v>
      </c>
      <c r="F23" s="1">
        <v>25986000000</v>
      </c>
    </row>
    <row r="24" spans="1:6">
      <c r="A24" t="s">
        <v>73</v>
      </c>
      <c r="C24" s="1">
        <v>3100000000</v>
      </c>
      <c r="D24" s="1">
        <v>3345000000</v>
      </c>
      <c r="E24" s="1">
        <v>5220000000</v>
      </c>
      <c r="F24" s="1">
        <v>5545000000</v>
      </c>
    </row>
    <row r="25" spans="1:6">
      <c r="A25" t="s">
        <v>74</v>
      </c>
      <c r="C25" s="1">
        <v>2870000000</v>
      </c>
      <c r="D25" s="1">
        <v>2912000000</v>
      </c>
      <c r="E25" s="1">
        <v>2602000000</v>
      </c>
      <c r="F25" s="1">
        <v>2710000000</v>
      </c>
    </row>
    <row r="26" spans="1:6">
      <c r="A26" t="s">
        <v>75</v>
      </c>
      <c r="C26" s="1">
        <v>230000000</v>
      </c>
      <c r="D26" s="1">
        <v>433000000</v>
      </c>
      <c r="E26" s="1">
        <v>2618000000</v>
      </c>
      <c r="F26" s="1">
        <v>2835000000</v>
      </c>
    </row>
    <row r="27" spans="1:6">
      <c r="A27" t="s">
        <v>76</v>
      </c>
      <c r="C27" s="1">
        <v>58521000000</v>
      </c>
      <c r="D27" s="1">
        <v>54718000000</v>
      </c>
      <c r="E27" s="1">
        <v>58185000000</v>
      </c>
      <c r="F27" s="1">
        <v>57589000000</v>
      </c>
    </row>
    <row r="28" spans="1:6">
      <c r="A28" t="s">
        <v>77</v>
      </c>
      <c r="C28" s="1">
        <v>11489000000</v>
      </c>
      <c r="D28" s="1">
        <v>12728000000</v>
      </c>
      <c r="E28" s="1">
        <v>15497000000</v>
      </c>
      <c r="F28" s="1">
        <v>17437000000</v>
      </c>
    </row>
    <row r="29" spans="1:6">
      <c r="A29" t="s">
        <v>78</v>
      </c>
      <c r="C29" s="1">
        <v>47032000000</v>
      </c>
      <c r="D29" s="1">
        <v>41990000000</v>
      </c>
      <c r="E29" s="1">
        <v>42688000000</v>
      </c>
      <c r="F29" s="1">
        <v>40152000000</v>
      </c>
    </row>
    <row r="30" spans="1:6">
      <c r="A30" t="s">
        <v>79</v>
      </c>
      <c r="C30" s="1">
        <v>95082000000</v>
      </c>
      <c r="D30" s="1">
        <v>104149000000</v>
      </c>
      <c r="E30" s="1">
        <v>125286000000</v>
      </c>
      <c r="F30" s="1">
        <v>141218000000</v>
      </c>
    </row>
    <row r="31" spans="1:6">
      <c r="A31" t="s">
        <v>80</v>
      </c>
      <c r="C31" s="1">
        <v>13067000000</v>
      </c>
      <c r="D31" s="1">
        <v>14745000000</v>
      </c>
      <c r="E31" s="1">
        <v>19185000000</v>
      </c>
      <c r="F31" s="1">
        <v>25020000000</v>
      </c>
    </row>
    <row r="32" spans="1:6">
      <c r="A32" t="s">
        <v>81</v>
      </c>
      <c r="C32" s="1">
        <v>45538000000</v>
      </c>
      <c r="D32" s="1">
        <v>50901000000</v>
      </c>
      <c r="E32" s="1">
        <v>57582000000</v>
      </c>
      <c r="F32" s="1">
        <v>64555000000</v>
      </c>
    </row>
    <row r="33" spans="1:6">
      <c r="A33" t="s">
        <v>82</v>
      </c>
      <c r="C33" s="1">
        <v>45538000000</v>
      </c>
      <c r="D33" s="1">
        <v>50901000000</v>
      </c>
      <c r="E33" s="1">
        <v>57582000000</v>
      </c>
      <c r="F33" s="1">
        <v>64555000000</v>
      </c>
    </row>
    <row r="34" spans="1:6">
      <c r="A34" t="s">
        <v>83</v>
      </c>
      <c r="C34" s="1">
        <v>2749000000</v>
      </c>
      <c r="D34" s="1">
        <v>5247000000</v>
      </c>
      <c r="E34" s="1">
        <v>8942000000</v>
      </c>
      <c r="F34" s="1">
        <v>2999000000</v>
      </c>
    </row>
    <row r="35" spans="1:6">
      <c r="A35" t="s">
        <v>84</v>
      </c>
      <c r="C35" s="1">
        <v>2749000000</v>
      </c>
      <c r="D35" s="1">
        <v>5247000000</v>
      </c>
      <c r="E35" s="1">
        <v>8942000000</v>
      </c>
      <c r="F35" s="1">
        <v>2999000000</v>
      </c>
    </row>
    <row r="36" spans="1:6">
      <c r="A36" t="s">
        <v>85</v>
      </c>
      <c r="D36" s="1">
        <v>5247000000</v>
      </c>
      <c r="E36" s="1">
        <v>2249000000</v>
      </c>
      <c r="F36" s="1">
        <v>2999000000</v>
      </c>
    </row>
    <row r="37" spans="1:6">
      <c r="A37" t="s">
        <v>86</v>
      </c>
      <c r="D37" s="1">
        <v>0</v>
      </c>
      <c r="E37" s="1">
        <v>6693000000</v>
      </c>
      <c r="F37" s="1">
        <v>0</v>
      </c>
    </row>
    <row r="38" spans="1:6">
      <c r="A38" t="s">
        <v>87</v>
      </c>
      <c r="C38" s="1">
        <v>10661000000</v>
      </c>
      <c r="D38" s="1">
        <v>11009000000</v>
      </c>
      <c r="E38" s="1">
        <v>12564000000</v>
      </c>
      <c r="F38" s="1">
        <v>13709000000</v>
      </c>
    </row>
    <row r="39" spans="1:6">
      <c r="A39" t="s">
        <v>88</v>
      </c>
      <c r="C39" s="1">
        <v>23067000000</v>
      </c>
      <c r="D39" s="1">
        <v>22247000000</v>
      </c>
      <c r="E39" s="1">
        <v>27013000000</v>
      </c>
      <c r="F39" s="1">
        <v>34935000000</v>
      </c>
    </row>
    <row r="40" spans="1:6">
      <c r="A40" t="s">
        <v>89</v>
      </c>
      <c r="C40" s="1">
        <v>23067000000</v>
      </c>
      <c r="D40" s="1">
        <v>22247000000</v>
      </c>
      <c r="E40" s="1">
        <v>27013000000</v>
      </c>
      <c r="F40" s="1">
        <v>34935000000</v>
      </c>
    </row>
    <row r="41" spans="1:6">
      <c r="A41" t="s">
        <v>90</v>
      </c>
      <c r="C41" s="1">
        <v>4067000000</v>
      </c>
      <c r="D41" s="1">
        <v>4152000000</v>
      </c>
      <c r="E41" s="1">
        <v>5017000000</v>
      </c>
      <c r="F41" s="1">
        <v>7211000000</v>
      </c>
    </row>
    <row r="42" spans="1:6">
      <c r="A42" t="s">
        <v>91</v>
      </c>
      <c r="C42" s="1">
        <v>4067000000</v>
      </c>
      <c r="D42" s="1">
        <v>4152000000</v>
      </c>
      <c r="E42" s="1">
        <v>5017000000</v>
      </c>
      <c r="F42" s="1">
        <v>7211000000</v>
      </c>
    </row>
    <row r="43" spans="1:6">
      <c r="A43" t="s">
        <v>92</v>
      </c>
      <c r="C43" s="1">
        <v>19000000000</v>
      </c>
      <c r="D43" s="1">
        <v>18095000000</v>
      </c>
      <c r="E43" s="1">
        <v>21996000000</v>
      </c>
      <c r="F43" s="1">
        <v>27724000000</v>
      </c>
    </row>
    <row r="44" spans="1:6">
      <c r="A44" t="s">
        <v>93</v>
      </c>
      <c r="C44" s="1">
        <v>364840000000</v>
      </c>
      <c r="D44" s="1">
        <v>411976000000</v>
      </c>
      <c r="E44" s="1">
        <v>512163000000</v>
      </c>
      <c r="F44" s="1">
        <v>619003000000</v>
      </c>
    </row>
    <row r="45" spans="1:6">
      <c r="A45" t="s">
        <v>94</v>
      </c>
      <c r="C45" s="1">
        <v>195156000000</v>
      </c>
      <c r="D45" s="1">
        <v>227719000000</v>
      </c>
      <c r="E45" s="1">
        <v>352429000000</v>
      </c>
      <c r="F45" s="1">
        <v>427872000000</v>
      </c>
    </row>
    <row r="46" spans="1:6">
      <c r="A46" t="s">
        <v>95</v>
      </c>
      <c r="C46" s="1">
        <v>21897000000</v>
      </c>
      <c r="D46" s="1">
        <v>30601000000</v>
      </c>
      <c r="E46" s="1">
        <v>36460000000</v>
      </c>
      <c r="F46" s="1">
        <v>40565000000</v>
      </c>
    </row>
    <row r="47" spans="1:6">
      <c r="A47" t="s">
        <v>96</v>
      </c>
      <c r="C47" s="1">
        <v>0</v>
      </c>
      <c r="D47" s="1">
        <v>0</v>
      </c>
      <c r="E47" s="1">
        <v>0</v>
      </c>
      <c r="F47" s="1">
        <v>272000000</v>
      </c>
    </row>
    <row r="48" spans="1:6">
      <c r="A48" t="s">
        <v>97</v>
      </c>
      <c r="C48" s="1">
        <v>6891000000</v>
      </c>
      <c r="D48" s="1">
        <v>9879000000</v>
      </c>
      <c r="E48" s="1">
        <v>14600000000</v>
      </c>
      <c r="F48" s="1">
        <v>15133000000</v>
      </c>
    </row>
    <row r="49" spans="1:6">
      <c r="A49" t="s">
        <v>98</v>
      </c>
      <c r="C49" s="1">
        <v>0</v>
      </c>
      <c r="D49" s="1">
        <v>0</v>
      </c>
      <c r="E49" s="1">
        <v>1500000000</v>
      </c>
      <c r="F49" s="1">
        <v>2460000000</v>
      </c>
    </row>
    <row r="50" spans="1:6">
      <c r="A50" t="s">
        <v>99</v>
      </c>
      <c r="E50" s="1">
        <v>1500000000</v>
      </c>
      <c r="F50" s="1">
        <v>2460000000</v>
      </c>
    </row>
    <row r="51" spans="1:6">
      <c r="A51" t="s">
        <v>100</v>
      </c>
      <c r="C51" s="1">
        <v>6891000000</v>
      </c>
      <c r="D51" s="1">
        <v>9879000000</v>
      </c>
      <c r="E51" s="1">
        <v>13100000000</v>
      </c>
      <c r="F51" s="1">
        <v>12673000000</v>
      </c>
    </row>
    <row r="52" spans="1:6">
      <c r="A52" t="s">
        <v>101</v>
      </c>
      <c r="C52" s="1">
        <v>78822000000</v>
      </c>
      <c r="D52" s="1">
        <v>77252000000</v>
      </c>
      <c r="E52" s="1">
        <v>146817000000</v>
      </c>
      <c r="F52" s="1">
        <v>142113000000</v>
      </c>
    </row>
    <row r="53" spans="1:6">
      <c r="A53" t="s">
        <v>102</v>
      </c>
      <c r="C53" s="1">
        <v>11298000000</v>
      </c>
      <c r="D53" s="1">
        <v>9366000000</v>
      </c>
      <c r="E53" s="1">
        <v>27597000000</v>
      </c>
      <c r="F53" s="1">
        <v>22604000000</v>
      </c>
    </row>
    <row r="54" spans="1:6">
      <c r="A54" t="s">
        <v>103</v>
      </c>
      <c r="C54" s="1">
        <v>67524000000</v>
      </c>
      <c r="D54" s="1">
        <v>67886000000</v>
      </c>
      <c r="E54" s="1">
        <v>119220000000</v>
      </c>
      <c r="F54" s="1">
        <v>119509000000</v>
      </c>
    </row>
    <row r="55" spans="1:6">
      <c r="A55" t="s">
        <v>104</v>
      </c>
      <c r="C55" s="1">
        <v>87546000000</v>
      </c>
      <c r="D55" s="1">
        <v>109987000000</v>
      </c>
      <c r="E55" s="1">
        <v>154552000000</v>
      </c>
      <c r="F55" s="1">
        <v>229789000000</v>
      </c>
    </row>
    <row r="56" spans="1:6">
      <c r="A56" t="s">
        <v>105</v>
      </c>
      <c r="C56" s="1">
        <v>-59660000000</v>
      </c>
      <c r="D56" s="1">
        <v>-68251000000</v>
      </c>
      <c r="E56" s="1">
        <v>-76421000000</v>
      </c>
      <c r="F56" s="1">
        <v>-93653000000</v>
      </c>
    </row>
    <row r="57" spans="1:6">
      <c r="A57" t="s">
        <v>106</v>
      </c>
      <c r="C57" s="1">
        <v>147206000000</v>
      </c>
      <c r="D57" s="1">
        <v>178238000000</v>
      </c>
      <c r="E57" s="1">
        <v>230973000000</v>
      </c>
      <c r="F57" s="1">
        <v>323442000000</v>
      </c>
    </row>
    <row r="58" spans="1:6">
      <c r="A58" t="s">
        <v>107</v>
      </c>
      <c r="C58" s="1">
        <v>7819000000</v>
      </c>
      <c r="D58" s="1">
        <v>8537000000</v>
      </c>
      <c r="E58" s="1">
        <v>9594000000</v>
      </c>
      <c r="F58" s="1">
        <v>12117000000</v>
      </c>
    </row>
    <row r="59" spans="1:6">
      <c r="A59" t="s">
        <v>108</v>
      </c>
      <c r="C59" s="1">
        <v>13148000000</v>
      </c>
      <c r="D59" s="1">
        <v>14346000000</v>
      </c>
      <c r="E59" s="1">
        <v>18961000000</v>
      </c>
      <c r="F59" s="1">
        <v>24823000000</v>
      </c>
    </row>
    <row r="60" spans="1:6">
      <c r="A60" t="s">
        <v>109</v>
      </c>
      <c r="C60" s="1">
        <v>66491000000</v>
      </c>
      <c r="D60" s="1">
        <v>81207000000</v>
      </c>
      <c r="E60" s="1">
        <v>100312000000</v>
      </c>
      <c r="F60" s="1">
        <v>139243000000</v>
      </c>
    </row>
    <row r="61" spans="1:6">
      <c r="A61" t="s">
        <v>110</v>
      </c>
      <c r="C61" s="1">
        <v>55014000000</v>
      </c>
      <c r="D61" s="1">
        <v>68465000000</v>
      </c>
      <c r="E61" s="1">
        <v>93943000000</v>
      </c>
      <c r="F61" s="1">
        <v>137921000000</v>
      </c>
    </row>
    <row r="62" spans="1:6">
      <c r="A62" t="s">
        <v>111</v>
      </c>
      <c r="C62" s="1">
        <v>4734000000</v>
      </c>
      <c r="D62" s="1">
        <v>5683000000</v>
      </c>
      <c r="E62" s="1">
        <v>8163000000</v>
      </c>
      <c r="F62" s="1">
        <v>9338000000</v>
      </c>
    </row>
    <row r="63" spans="1:6">
      <c r="A63" t="s">
        <v>112</v>
      </c>
      <c r="C63" s="1">
        <v>0</v>
      </c>
      <c r="D63" s="1">
        <v>0</v>
      </c>
      <c r="E63" s="1">
        <v>0</v>
      </c>
      <c r="F63" s="1">
        <v>0</v>
      </c>
    </row>
    <row r="64" spans="1:6">
      <c r="A64" t="s">
        <v>113</v>
      </c>
      <c r="C64" s="1">
        <v>169684000000</v>
      </c>
      <c r="D64" s="1">
        <v>184257000000</v>
      </c>
      <c r="E64" s="1">
        <v>159734000000</v>
      </c>
      <c r="F64" s="1">
        <v>191131000000</v>
      </c>
    </row>
    <row r="65" spans="1:6">
      <c r="A65" t="s">
        <v>114</v>
      </c>
      <c r="C65" s="1">
        <v>16924000000</v>
      </c>
      <c r="D65" s="1">
        <v>21807000000</v>
      </c>
      <c r="E65" s="1">
        <v>26021000000</v>
      </c>
      <c r="F65" s="1">
        <v>25723000000</v>
      </c>
    </row>
    <row r="66" spans="1:6">
      <c r="A66" t="s">
        <v>115</v>
      </c>
      <c r="C66" s="1">
        <v>8000000</v>
      </c>
      <c r="D66" s="1">
        <v>6000000</v>
      </c>
      <c r="E66" s="1">
        <v>12000000</v>
      </c>
      <c r="F66" s="1">
        <v>10000000</v>
      </c>
    </row>
    <row r="67" spans="1:6">
      <c r="A67" t="s">
        <v>116</v>
      </c>
      <c r="C67" s="1">
        <v>3742000000</v>
      </c>
      <c r="D67" s="1">
        <v>2500000000</v>
      </c>
      <c r="E67" s="1">
        <v>1246000000</v>
      </c>
      <c r="F67" s="1">
        <v>938000000</v>
      </c>
    </row>
    <row r="68" spans="1:6">
      <c r="A68" t="s">
        <v>117</v>
      </c>
      <c r="B68" s="1">
        <v>1367000000</v>
      </c>
      <c r="C68" s="1">
        <v>2516000000</v>
      </c>
      <c r="D68" s="1">
        <v>1768000000</v>
      </c>
      <c r="E68" s="1">
        <v>845000000</v>
      </c>
    </row>
    <row r="69" spans="1:6">
      <c r="A69" t="s">
        <v>118</v>
      </c>
      <c r="B69" s="1">
        <v>79000000</v>
      </c>
      <c r="C69" s="1">
        <v>82000000</v>
      </c>
      <c r="D69" s="1">
        <v>23000000</v>
      </c>
      <c r="E69" s="1">
        <v>7000000</v>
      </c>
    </row>
    <row r="70" spans="1:6">
      <c r="A70" t="s">
        <v>119</v>
      </c>
      <c r="B70" s="1">
        <v>1190000000</v>
      </c>
      <c r="C70" s="1">
        <v>1144000000</v>
      </c>
      <c r="D70" s="1">
        <v>709000000</v>
      </c>
      <c r="E70" s="1">
        <v>394000000</v>
      </c>
    </row>
    <row r="71" spans="1:6">
      <c r="A71" t="s">
        <v>120</v>
      </c>
      <c r="C71" s="1">
        <v>44261000000</v>
      </c>
      <c r="D71" s="1">
        <v>48688000000</v>
      </c>
      <c r="E71" s="1">
        <v>56924000000</v>
      </c>
      <c r="F71" s="1">
        <v>69905000000</v>
      </c>
    </row>
    <row r="72" spans="1:6">
      <c r="A72" t="s">
        <v>121</v>
      </c>
      <c r="C72" s="1">
        <v>44261000000</v>
      </c>
      <c r="D72" s="1">
        <v>48688000000</v>
      </c>
      <c r="E72" s="1">
        <v>56924000000</v>
      </c>
      <c r="F72" s="1">
        <v>69905000000</v>
      </c>
    </row>
    <row r="73" spans="1:6">
      <c r="A73" t="s">
        <v>122</v>
      </c>
      <c r="C73" s="1">
        <v>-633000000</v>
      </c>
      <c r="D73" s="1">
        <v>-650000000</v>
      </c>
      <c r="E73" s="1">
        <v>-830000000</v>
      </c>
      <c r="F73" s="1">
        <v>-944000000</v>
      </c>
    </row>
    <row r="74" spans="1:6">
      <c r="A74" t="s">
        <v>123</v>
      </c>
      <c r="C74" s="1">
        <v>44894000000</v>
      </c>
      <c r="D74" s="1">
        <v>49338000000</v>
      </c>
      <c r="E74" s="1">
        <v>57754000000</v>
      </c>
      <c r="F74" s="1">
        <v>70849000000</v>
      </c>
    </row>
    <row r="75" spans="1:6">
      <c r="A75" t="s">
        <v>124</v>
      </c>
      <c r="C75" s="1">
        <v>104749000000</v>
      </c>
      <c r="D75" s="1">
        <v>111256000000</v>
      </c>
      <c r="E75" s="1">
        <v>75531000000</v>
      </c>
      <c r="F75" s="1">
        <v>94555000000</v>
      </c>
    </row>
    <row r="76" spans="1:6">
      <c r="A76" t="s">
        <v>125</v>
      </c>
      <c r="C76" s="1">
        <v>90818000000</v>
      </c>
      <c r="D76" s="1">
        <v>76552000000</v>
      </c>
      <c r="E76" s="1">
        <v>57216000000</v>
      </c>
      <c r="F76" s="1">
        <v>64313000000</v>
      </c>
    </row>
    <row r="77" spans="1:6">
      <c r="A77" t="s">
        <v>126</v>
      </c>
      <c r="C77" s="1">
        <v>13931000000</v>
      </c>
      <c r="D77" s="1">
        <v>34704000000</v>
      </c>
      <c r="E77" s="1">
        <v>18315000000</v>
      </c>
      <c r="F77" s="1">
        <v>30242000000</v>
      </c>
    </row>
    <row r="78" spans="1:6">
      <c r="A78" t="s">
        <v>127</v>
      </c>
      <c r="C78" s="1">
        <v>5673000000</v>
      </c>
      <c r="D78" s="1">
        <v>26226000000</v>
      </c>
      <c r="E78" s="1">
        <v>6744000000</v>
      </c>
      <c r="F78" s="1">
        <v>18531000000</v>
      </c>
    </row>
    <row r="79" spans="1:6">
      <c r="A79" t="s">
        <v>128</v>
      </c>
      <c r="C79" s="1">
        <v>8258000000</v>
      </c>
      <c r="D79" s="1">
        <v>8478000000</v>
      </c>
      <c r="E79" s="1">
        <v>11571000000</v>
      </c>
      <c r="F79" s="1">
        <v>11711000000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129</v>
      </c>
      <c r="C1" s="2" t="s">
        <v>47</v>
      </c>
      <c r="D1" s="2" t="s">
        <v>48</v>
      </c>
      <c r="E1" s="2" t="s">
        <v>49</v>
      </c>
      <c r="F1" s="2" t="s">
        <v>50</v>
      </c>
    </row>
    <row r="2" spans="1:6">
      <c r="A2" t="s">
        <v>130</v>
      </c>
      <c r="C2" s="1">
        <v>65149000000</v>
      </c>
      <c r="D2" s="1">
        <v>59475000000</v>
      </c>
      <c r="E2" s="1">
        <v>74071000000</v>
      </c>
      <c r="F2" s="1">
        <v>71611000000</v>
      </c>
    </row>
    <row r="3" spans="1:6">
      <c r="A3" t="s">
        <v>131</v>
      </c>
      <c r="C3" s="1">
        <v>-32696000000</v>
      </c>
      <c r="D3" s="1">
        <v>-22245000000</v>
      </c>
      <c r="E3" s="1">
        <v>-17254000000</v>
      </c>
      <c r="F3" s="1">
        <v>-18420000000</v>
      </c>
    </row>
    <row r="4" spans="1:6">
      <c r="A4" t="s">
        <v>132</v>
      </c>
      <c r="C4" s="1">
        <v>-9023000000</v>
      </c>
      <c r="D4" s="1">
        <v>-2750000000</v>
      </c>
      <c r="E4" s="1">
        <v>-29070000000</v>
      </c>
      <c r="F4" s="1">
        <v>-3216000000</v>
      </c>
    </row>
    <row r="5" spans="1:6">
      <c r="A5" t="s">
        <v>133</v>
      </c>
      <c r="C5" s="1">
        <v>0</v>
      </c>
      <c r="D5" s="1">
        <v>0</v>
      </c>
      <c r="E5" s="1">
        <v>24395000000</v>
      </c>
      <c r="F5" s="1">
        <v>0</v>
      </c>
    </row>
    <row r="6" spans="1:6">
      <c r="A6" t="s">
        <v>134</v>
      </c>
      <c r="C6" s="1">
        <v>1841000000</v>
      </c>
      <c r="D6" s="1">
        <v>1866000000</v>
      </c>
      <c r="E6" s="1">
        <v>2002000000</v>
      </c>
      <c r="F6" s="1">
        <v>2056000000</v>
      </c>
    </row>
    <row r="7" spans="1:6">
      <c r="A7" t="s">
        <v>135</v>
      </c>
      <c r="C7" s="1">
        <v>-23886000000</v>
      </c>
      <c r="D7" s="1">
        <v>-28107000000</v>
      </c>
      <c r="E7" s="1">
        <v>-44477000000</v>
      </c>
      <c r="F7" s="1">
        <v>-64551000000</v>
      </c>
    </row>
    <row r="8" spans="1:6">
      <c r="A8" t="s">
        <v>136</v>
      </c>
      <c r="C8" s="1">
        <v>13931000000</v>
      </c>
      <c r="D8" s="1">
        <v>34704000000</v>
      </c>
      <c r="E8" s="1">
        <v>18315000000</v>
      </c>
      <c r="F8" s="1">
        <v>30242000000</v>
      </c>
    </row>
    <row r="9" spans="1:6">
      <c r="A9" t="s">
        <v>137</v>
      </c>
      <c r="C9" s="1">
        <v>14224000000</v>
      </c>
      <c r="D9" s="1">
        <v>13931000000</v>
      </c>
      <c r="E9" s="1">
        <v>34704000000</v>
      </c>
      <c r="F9" s="1">
        <v>18315000000</v>
      </c>
    </row>
    <row r="10" spans="1:6">
      <c r="A10" t="s">
        <v>138</v>
      </c>
      <c r="C10" s="1">
        <v>-141000000</v>
      </c>
      <c r="D10" s="1">
        <v>-194000000</v>
      </c>
      <c r="E10" s="1">
        <v>-210000000</v>
      </c>
      <c r="F10" s="1">
        <v>63000000</v>
      </c>
    </row>
    <row r="11" spans="1:6">
      <c r="A11" t="s">
        <v>139</v>
      </c>
      <c r="C11" s="1">
        <v>-152000000</v>
      </c>
      <c r="D11" s="1">
        <v>20967000000</v>
      </c>
      <c r="E11" s="1">
        <v>-16179000000</v>
      </c>
      <c r="F11" s="1">
        <v>11864000000</v>
      </c>
    </row>
    <row r="12" spans="1:6">
      <c r="A12" t="s">
        <v>140</v>
      </c>
      <c r="C12" s="1">
        <v>-58876000000</v>
      </c>
      <c r="D12" s="1">
        <v>-43935000000</v>
      </c>
      <c r="E12" s="1">
        <v>-37757000000</v>
      </c>
      <c r="F12" s="1">
        <v>-51699000000</v>
      </c>
    </row>
    <row r="13" spans="1:6">
      <c r="A13" t="s">
        <v>141</v>
      </c>
      <c r="C13" s="1">
        <v>-58876000000</v>
      </c>
      <c r="D13" s="1">
        <v>-43935000000</v>
      </c>
      <c r="E13" s="1">
        <v>-37757000000</v>
      </c>
      <c r="F13" s="1">
        <v>-51699000000</v>
      </c>
    </row>
    <row r="14" spans="1:6">
      <c r="A14" t="s">
        <v>142</v>
      </c>
      <c r="C14" s="1">
        <v>-863000000</v>
      </c>
      <c r="D14" s="1">
        <v>-1006000000</v>
      </c>
      <c r="E14" s="1">
        <v>-1309000000</v>
      </c>
      <c r="F14" s="1">
        <v>-2291000000</v>
      </c>
    </row>
    <row r="15" spans="1:6">
      <c r="A15" t="s">
        <v>143</v>
      </c>
      <c r="C15" s="1">
        <v>-18135000000</v>
      </c>
      <c r="D15" s="1">
        <v>-19800000000</v>
      </c>
      <c r="E15" s="1">
        <v>-21771000000</v>
      </c>
      <c r="F15" s="1">
        <v>-24082000000</v>
      </c>
    </row>
    <row r="16" spans="1:6">
      <c r="A16" t="s">
        <v>144</v>
      </c>
      <c r="C16" s="1">
        <v>-18135000000</v>
      </c>
      <c r="D16" s="1">
        <v>-19800000000</v>
      </c>
      <c r="E16" s="1">
        <v>-21771000000</v>
      </c>
      <c r="F16" s="1">
        <v>-24082000000</v>
      </c>
    </row>
    <row r="17" spans="1:6">
      <c r="A17" t="s">
        <v>145</v>
      </c>
      <c r="C17" s="1">
        <v>-30855000000</v>
      </c>
      <c r="D17" s="1">
        <v>-20379000000</v>
      </c>
      <c r="E17" s="1">
        <v>-15252000000</v>
      </c>
      <c r="F17" s="1">
        <v>-16364000000</v>
      </c>
    </row>
    <row r="18" spans="1:6">
      <c r="A18" t="s">
        <v>146</v>
      </c>
      <c r="C18" s="1">
        <v>-32696000000</v>
      </c>
      <c r="D18" s="1">
        <v>-22245000000</v>
      </c>
      <c r="E18" s="1">
        <v>-17254000000</v>
      </c>
      <c r="F18" s="1">
        <v>-18420000000</v>
      </c>
    </row>
    <row r="19" spans="1:6">
      <c r="A19" t="s">
        <v>147</v>
      </c>
      <c r="C19" s="1">
        <v>1841000000</v>
      </c>
      <c r="D19" s="1">
        <v>1866000000</v>
      </c>
      <c r="E19" s="1">
        <v>2002000000</v>
      </c>
      <c r="F19" s="1">
        <v>2056000000</v>
      </c>
    </row>
    <row r="20" spans="1:6">
      <c r="A20" t="s">
        <v>148</v>
      </c>
      <c r="C20" s="1">
        <v>-9023000000</v>
      </c>
      <c r="D20" s="1">
        <v>-2750000000</v>
      </c>
      <c r="E20" s="1">
        <v>575000000</v>
      </c>
      <c r="F20" s="1">
        <v>-8962000000</v>
      </c>
    </row>
    <row r="21" spans="1:6">
      <c r="A21" t="s">
        <v>149</v>
      </c>
      <c r="C21" s="1">
        <v>0</v>
      </c>
      <c r="D21" s="1">
        <v>0</v>
      </c>
      <c r="E21" s="1">
        <v>5250000000</v>
      </c>
      <c r="F21" s="1">
        <v>-5746000000</v>
      </c>
    </row>
    <row r="22" spans="1:6">
      <c r="A22" t="s">
        <v>150</v>
      </c>
      <c r="C22" s="1">
        <v>0</v>
      </c>
      <c r="D22" s="1">
        <v>0</v>
      </c>
      <c r="E22" s="1">
        <v>5250000000</v>
      </c>
    </row>
    <row r="23" spans="1:6">
      <c r="A23" t="s">
        <v>151</v>
      </c>
      <c r="C23" s="1">
        <v>-9023000000</v>
      </c>
      <c r="D23" s="1">
        <v>-2750000000</v>
      </c>
      <c r="E23" s="1">
        <v>-4675000000</v>
      </c>
      <c r="F23" s="1">
        <v>-3216000000</v>
      </c>
    </row>
    <row r="24" spans="1:6">
      <c r="A24" t="s">
        <v>152</v>
      </c>
      <c r="C24" s="1">
        <v>-9023000000</v>
      </c>
      <c r="D24" s="1">
        <v>-2750000000</v>
      </c>
      <c r="E24" s="1">
        <v>-29070000000</v>
      </c>
      <c r="F24" s="1">
        <v>-3216000000</v>
      </c>
    </row>
    <row r="25" spans="1:6">
      <c r="A25" t="s">
        <v>153</v>
      </c>
      <c r="C25" s="1">
        <v>0</v>
      </c>
      <c r="D25" s="1">
        <v>0</v>
      </c>
      <c r="E25" s="1">
        <v>24395000000</v>
      </c>
      <c r="F25" s="1">
        <v>0</v>
      </c>
    </row>
    <row r="26" spans="1:6">
      <c r="A26" t="s">
        <v>154</v>
      </c>
      <c r="C26" s="1">
        <v>-30311000000</v>
      </c>
      <c r="D26" s="1">
        <v>-22680000000</v>
      </c>
      <c r="E26" s="1">
        <v>-96970000000</v>
      </c>
      <c r="F26" s="1">
        <v>-72599000000</v>
      </c>
    </row>
    <row r="27" spans="1:6">
      <c r="A27" t="s">
        <v>155</v>
      </c>
      <c r="C27" s="1">
        <v>-30311000000</v>
      </c>
      <c r="D27" s="1">
        <v>-22680000000</v>
      </c>
      <c r="E27" s="1">
        <v>-96970000000</v>
      </c>
      <c r="F27" s="1">
        <v>-72599000000</v>
      </c>
    </row>
    <row r="28" spans="1:6">
      <c r="A28" t="s">
        <v>156</v>
      </c>
      <c r="C28" s="1">
        <v>-2825000000</v>
      </c>
      <c r="D28" s="1">
        <v>-3116000000</v>
      </c>
      <c r="E28" s="1">
        <v>-1298000000</v>
      </c>
      <c r="F28" s="1">
        <v>2317000000</v>
      </c>
    </row>
    <row r="29" spans="1:6">
      <c r="A29" t="s">
        <v>157</v>
      </c>
      <c r="C29" s="1">
        <v>18438000000</v>
      </c>
      <c r="D29" s="1">
        <v>10213000000</v>
      </c>
      <c r="E29" s="1">
        <v>17937000000</v>
      </c>
      <c r="F29" s="1">
        <v>-4387000000</v>
      </c>
    </row>
    <row r="30" spans="1:6">
      <c r="A30" t="s">
        <v>158</v>
      </c>
      <c r="C30" s="1">
        <v>44894000000</v>
      </c>
      <c r="D30" s="1">
        <v>47864000000</v>
      </c>
      <c r="E30" s="1">
        <v>35669000000</v>
      </c>
      <c r="F30" s="1">
        <v>25388000000</v>
      </c>
    </row>
    <row r="31" spans="1:6">
      <c r="A31" t="s">
        <v>159</v>
      </c>
      <c r="C31" s="1">
        <v>-26456000000</v>
      </c>
      <c r="D31" s="1">
        <v>-37651000000</v>
      </c>
      <c r="E31" s="1">
        <v>-17732000000</v>
      </c>
      <c r="F31" s="1">
        <v>-29775000000</v>
      </c>
    </row>
    <row r="32" spans="1:6">
      <c r="A32" t="s">
        <v>160</v>
      </c>
      <c r="C32" s="1">
        <v>-22038000000</v>
      </c>
      <c r="D32" s="1">
        <v>-1670000000</v>
      </c>
      <c r="E32" s="1">
        <v>-69132000000</v>
      </c>
      <c r="F32" s="1">
        <v>-5978000000</v>
      </c>
    </row>
    <row r="33" spans="1:6">
      <c r="A33" t="s">
        <v>161</v>
      </c>
      <c r="C33" s="1">
        <v>-22038000000</v>
      </c>
      <c r="D33" s="1">
        <v>-1670000000</v>
      </c>
      <c r="E33" s="1">
        <v>-69132000000</v>
      </c>
      <c r="F33" s="1">
        <v>-5978000000</v>
      </c>
    </row>
    <row r="34" spans="1:6">
      <c r="A34" t="s">
        <v>162</v>
      </c>
      <c r="C34" s="1">
        <v>-23886000000</v>
      </c>
      <c r="D34" s="1">
        <v>-28107000000</v>
      </c>
      <c r="E34" s="1">
        <v>-44477000000</v>
      </c>
      <c r="F34" s="1">
        <v>-64551000000</v>
      </c>
    </row>
    <row r="35" spans="1:6">
      <c r="A35" t="s">
        <v>163</v>
      </c>
      <c r="C35" s="1">
        <v>-23886000000</v>
      </c>
      <c r="D35" s="1">
        <v>-28107000000</v>
      </c>
      <c r="E35" s="1">
        <v>-44477000000</v>
      </c>
      <c r="F35" s="1">
        <v>-64551000000</v>
      </c>
    </row>
    <row r="36" spans="1:6">
      <c r="A36" t="s">
        <v>164</v>
      </c>
      <c r="C36" s="1">
        <v>89035000000</v>
      </c>
      <c r="D36" s="1">
        <v>87582000000</v>
      </c>
      <c r="E36" s="1">
        <v>118548000000</v>
      </c>
      <c r="F36" s="1">
        <v>136162000000</v>
      </c>
    </row>
    <row r="37" spans="1:6">
      <c r="A37" t="s">
        <v>165</v>
      </c>
      <c r="C37" s="1">
        <v>89035000000</v>
      </c>
      <c r="D37" s="1">
        <v>87582000000</v>
      </c>
      <c r="E37" s="1">
        <v>118548000000</v>
      </c>
      <c r="F37" s="1">
        <v>136162000000</v>
      </c>
    </row>
    <row r="38" spans="1:6">
      <c r="A38" t="s">
        <v>166</v>
      </c>
      <c r="C38" s="1">
        <v>446000000</v>
      </c>
      <c r="D38" s="1">
        <v>-2388000000</v>
      </c>
      <c r="E38" s="1">
        <v>1824000000</v>
      </c>
      <c r="F38" s="1">
        <v>-5350000000</v>
      </c>
    </row>
    <row r="39" spans="1:6">
      <c r="A39" t="s">
        <v>167</v>
      </c>
      <c r="C39" s="1">
        <v>5805000000</v>
      </c>
      <c r="D39" s="1">
        <v>5177000000</v>
      </c>
      <c r="E39" s="1">
        <v>7035000000</v>
      </c>
      <c r="F39" s="1">
        <v>5400000000</v>
      </c>
    </row>
    <row r="40" spans="1:6">
      <c r="A40" t="s">
        <v>168</v>
      </c>
      <c r="C40" s="1">
        <v>3169000000</v>
      </c>
      <c r="D40" s="1">
        <v>2825000000</v>
      </c>
      <c r="E40" s="1">
        <v>5616000000</v>
      </c>
      <c r="F40" s="1">
        <v>4947000000</v>
      </c>
    </row>
    <row r="41" spans="1:6">
      <c r="A41" t="s">
        <v>169</v>
      </c>
      <c r="C41" s="1">
        <v>-3514000000</v>
      </c>
      <c r="D41" s="1">
        <v>-4824000000</v>
      </c>
      <c r="E41" s="1">
        <v>-8465000000</v>
      </c>
      <c r="F41" s="1">
        <v>-5994000000</v>
      </c>
    </row>
    <row r="42" spans="1:6">
      <c r="A42" t="s">
        <v>170</v>
      </c>
      <c r="C42" s="1">
        <v>2943000000</v>
      </c>
      <c r="D42" s="1">
        <v>-2721000000</v>
      </c>
      <c r="E42" s="1">
        <v>3545000000</v>
      </c>
      <c r="F42" s="1">
        <v>569000000</v>
      </c>
    </row>
    <row r="43" spans="1:6">
      <c r="A43" t="s">
        <v>171</v>
      </c>
      <c r="C43" s="1">
        <v>2943000000</v>
      </c>
      <c r="D43" s="1">
        <v>-2721000000</v>
      </c>
      <c r="E43" s="1">
        <v>3545000000</v>
      </c>
      <c r="F43" s="1">
        <v>569000000</v>
      </c>
    </row>
    <row r="44" spans="1:6">
      <c r="A44" t="s">
        <v>172</v>
      </c>
      <c r="C44" s="1">
        <v>2943000000</v>
      </c>
      <c r="D44" s="1">
        <v>-2721000000</v>
      </c>
      <c r="E44" s="1">
        <v>3545000000</v>
      </c>
      <c r="F44" s="1">
        <v>569000000</v>
      </c>
    </row>
    <row r="45" spans="1:6">
      <c r="A45" t="s">
        <v>173</v>
      </c>
      <c r="B45" s="1">
        <v>-2309000000</v>
      </c>
      <c r="C45" s="1">
        <v>696000000</v>
      </c>
      <c r="D45" s="1">
        <v>-358000000</v>
      </c>
      <c r="E45" s="1">
        <v>1687000000</v>
      </c>
    </row>
    <row r="46" spans="1:6">
      <c r="A46" t="s">
        <v>174</v>
      </c>
      <c r="B46" s="1">
        <v>-2309000000</v>
      </c>
      <c r="C46" s="1">
        <v>696000000</v>
      </c>
      <c r="D46" s="1">
        <v>-358000000</v>
      </c>
      <c r="E46" s="1">
        <v>1687000000</v>
      </c>
    </row>
    <row r="47" spans="1:6">
      <c r="A47" t="s">
        <v>175</v>
      </c>
      <c r="C47" s="1">
        <v>-1123000000</v>
      </c>
      <c r="D47" s="1">
        <v>1242000000</v>
      </c>
      <c r="E47" s="1">
        <v>1284000000</v>
      </c>
      <c r="F47" s="1">
        <v>309000000</v>
      </c>
    </row>
    <row r="48" spans="1:6">
      <c r="A48" t="s">
        <v>176</v>
      </c>
      <c r="C48" s="1">
        <v>-6834000000</v>
      </c>
      <c r="D48" s="1">
        <v>-4087000000</v>
      </c>
      <c r="E48" s="1">
        <v>-7191000000</v>
      </c>
      <c r="F48" s="1">
        <v>-10581000000</v>
      </c>
    </row>
    <row r="49" spans="1:6">
      <c r="A49" t="s">
        <v>177</v>
      </c>
      <c r="C49" s="1">
        <v>-6834000000</v>
      </c>
      <c r="D49" s="1">
        <v>-4087000000</v>
      </c>
      <c r="E49" s="1">
        <v>-7191000000</v>
      </c>
      <c r="F49" s="1">
        <v>-10581000000</v>
      </c>
    </row>
    <row r="50" spans="1:6">
      <c r="A50" t="s">
        <v>178</v>
      </c>
      <c r="C50" s="1">
        <v>7502000000</v>
      </c>
      <c r="D50" s="1">
        <v>9611000000</v>
      </c>
      <c r="E50" s="1">
        <v>10734000000</v>
      </c>
      <c r="F50" s="1">
        <v>11974000000</v>
      </c>
    </row>
    <row r="51" spans="1:6">
      <c r="A51" t="s">
        <v>179</v>
      </c>
      <c r="C51" s="1">
        <v>-509000000</v>
      </c>
      <c r="D51" s="1">
        <v>-303000000</v>
      </c>
      <c r="E51" s="1">
        <v>-146000000</v>
      </c>
      <c r="F51" s="1">
        <v>-536000000</v>
      </c>
    </row>
    <row r="52" spans="1:6">
      <c r="A52" t="s">
        <v>180</v>
      </c>
      <c r="C52" s="1">
        <v>101000000</v>
      </c>
      <c r="D52" s="1">
        <v>30000000</v>
      </c>
      <c r="E52" s="1">
        <v>206000000</v>
      </c>
      <c r="F52" s="1">
        <v>943000000</v>
      </c>
    </row>
    <row r="53" spans="1:6">
      <c r="A53" t="s">
        <v>181</v>
      </c>
      <c r="C53" s="1">
        <v>-5702000000</v>
      </c>
      <c r="D53" s="1">
        <v>-6059000000</v>
      </c>
      <c r="E53" s="1">
        <v>-4738000000</v>
      </c>
      <c r="F53" s="1">
        <v>-7056000000</v>
      </c>
    </row>
    <row r="54" spans="1:6">
      <c r="A54" t="s">
        <v>182</v>
      </c>
      <c r="C54" s="1">
        <v>-5702000000</v>
      </c>
      <c r="D54" s="1">
        <v>-6059000000</v>
      </c>
      <c r="E54" s="1">
        <v>-4738000000</v>
      </c>
      <c r="F54" s="1">
        <v>-7056000000</v>
      </c>
    </row>
    <row r="55" spans="1:6">
      <c r="A55" t="s">
        <v>183</v>
      </c>
      <c r="C55" s="1">
        <v>14460000000</v>
      </c>
      <c r="D55" s="1">
        <v>13861000000</v>
      </c>
      <c r="E55" s="1">
        <v>22287000000</v>
      </c>
      <c r="F55" s="1">
        <v>34153000000</v>
      </c>
    </row>
    <row r="56" spans="1:6">
      <c r="A56" t="s">
        <v>184</v>
      </c>
      <c r="C56" s="1">
        <v>14460000000</v>
      </c>
      <c r="D56" s="1">
        <v>13861000000</v>
      </c>
      <c r="E56" s="1">
        <v>22287000000</v>
      </c>
      <c r="F56" s="1">
        <v>34153000000</v>
      </c>
    </row>
    <row r="57" spans="1:6">
      <c r="A57" t="s">
        <v>185</v>
      </c>
      <c r="C57" s="1">
        <v>14460000000</v>
      </c>
      <c r="D57" s="1">
        <v>13861000000</v>
      </c>
      <c r="E57" s="1">
        <v>22287000000</v>
      </c>
      <c r="F57" s="1">
        <v>34153000000</v>
      </c>
    </row>
    <row r="58" spans="1:6">
      <c r="A58" t="s">
        <v>186</v>
      </c>
      <c r="C58" s="1">
        <v>-1000000</v>
      </c>
      <c r="D58" s="1">
        <v>469000000</v>
      </c>
      <c r="E58" s="1">
        <v>245000000</v>
      </c>
      <c r="F58" s="1">
        <v>202000000</v>
      </c>
    </row>
    <row r="59" spans="1:6">
      <c r="A59" t="s">
        <v>187</v>
      </c>
      <c r="C59" s="1">
        <v>-1000000</v>
      </c>
      <c r="D59" s="1">
        <v>469000000</v>
      </c>
      <c r="E59" s="1">
        <v>245000000</v>
      </c>
      <c r="F59" s="1">
        <v>202000000</v>
      </c>
    </row>
    <row r="60" spans="1:6">
      <c r="A60" t="s">
        <v>188</v>
      </c>
      <c r="C60" s="1">
        <v>72738000000</v>
      </c>
      <c r="D60" s="1">
        <v>72361000000</v>
      </c>
      <c r="E60" s="1">
        <v>88136000000</v>
      </c>
      <c r="F60" s="1">
        <v>101832000000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5" width="18.7109375" style="1" customWidth="1"/>
  </cols>
  <sheetData>
    <row r="1" spans="1:5"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t="s">
        <v>189</v>
      </c>
      <c r="B2" s="1">
        <v>68.4016744842891</v>
      </c>
      <c r="C2" s="1">
        <v>68.92008588349103</v>
      </c>
      <c r="D2" s="1">
        <v>69.76444382797138</v>
      </c>
      <c r="E2" s="1">
        <v>68.82374238616519</v>
      </c>
    </row>
    <row r="3" spans="1:5">
      <c r="A3" t="s">
        <v>190</v>
      </c>
      <c r="B3" s="1">
        <v>50.55681646239976</v>
      </c>
      <c r="C3" s="1">
        <v>49.61423212136942</v>
      </c>
      <c r="D3" s="1">
        <v>54.26236731097168</v>
      </c>
      <c r="E3" s="1">
        <v>56.85174142068124</v>
      </c>
    </row>
    <row r="4" spans="1:5">
      <c r="A4" t="s">
        <v>191</v>
      </c>
      <c r="B4" s="1">
        <v>43.26373127553336</v>
      </c>
      <c r="C4" s="1">
        <v>43.07340207158531</v>
      </c>
      <c r="D4" s="1">
        <v>45.17016016514226</v>
      </c>
      <c r="E4" s="1">
        <v>44.72888358819269</v>
      </c>
    </row>
    <row r="5" spans="1:5">
      <c r="A5" t="s">
        <v>192</v>
      </c>
      <c r="B5" s="1">
        <v>36.68633681343622</v>
      </c>
      <c r="C5" s="1">
        <v>34.14623787839464</v>
      </c>
      <c r="D5" s="1">
        <v>35.95597294408498</v>
      </c>
      <c r="E5" s="1">
        <v>36.14601524896707</v>
      </c>
    </row>
    <row r="6" spans="1:5">
      <c r="A6" t="s">
        <v>193</v>
      </c>
      <c r="B6" s="1">
        <v>41.57973824527387</v>
      </c>
      <c r="C6" s="1">
        <v>46.38160569105691</v>
      </c>
      <c r="D6" s="1">
        <v>37.72470187393527</v>
      </c>
      <c r="E6" s="1">
        <v>52.83522012578617</v>
      </c>
    </row>
    <row r="7" spans="1:5">
      <c r="A7" t="s">
        <v>194</v>
      </c>
      <c r="B7" s="1">
        <v>1.224050702521378</v>
      </c>
      <c r="C7" s="1">
        <v>1.210348115697683</v>
      </c>
      <c r="D7" s="1">
        <v>1.345057638195516</v>
      </c>
      <c r="E7" s="1">
        <v>1.33712389032917</v>
      </c>
    </row>
    <row r="8" spans="1:5">
      <c r="A8" t="s">
        <v>195</v>
      </c>
      <c r="B8" s="1">
        <v>0.5434437013485364</v>
      </c>
      <c r="C8" s="1">
        <v>0.5143867603938094</v>
      </c>
      <c r="D8" s="1">
        <v>0.4786015389631816</v>
      </c>
      <c r="E8" s="1">
        <v>0.4551254194244616</v>
      </c>
    </row>
    <row r="9" spans="1:5">
      <c r="A9" t="s">
        <v>196</v>
      </c>
      <c r="B9" s="1">
        <v>2.190678627613455</v>
      </c>
      <c r="C9" s="1">
        <v>1.997720913768105</v>
      </c>
      <c r="D9" s="1">
        <v>1.907660618972947</v>
      </c>
      <c r="E9" s="1">
        <v>1.802156754852553</v>
      </c>
    </row>
    <row r="10" spans="1:5">
      <c r="A10" t="s">
        <v>197</v>
      </c>
      <c r="B10" s="1">
        <v>43.67546925099975</v>
      </c>
      <c r="C10" s="1">
        <v>35.08871464385641</v>
      </c>
      <c r="D10" s="1">
        <v>32.82813797829981</v>
      </c>
      <c r="E10" s="1">
        <v>29.64722734140952</v>
      </c>
    </row>
    <row r="11" spans="1:5">
      <c r="A11" t="s">
        <v>198</v>
      </c>
      <c r="B11" s="1">
        <v>0.3678951855988279</v>
      </c>
      <c r="C11" s="1">
        <v>0.2907774593522546</v>
      </c>
      <c r="D11" s="1">
        <v>0.2500288665323286</v>
      </c>
      <c r="E11" s="1">
        <v>0.1763950634536609</v>
      </c>
    </row>
    <row r="12" spans="1:5">
      <c r="A12" t="s">
        <v>199</v>
      </c>
      <c r="B12" s="1">
        <v>19.93695866681285</v>
      </c>
      <c r="C12" s="1">
        <v>17.5643726819038</v>
      </c>
      <c r="D12" s="1">
        <v>17.2085839859576</v>
      </c>
      <c r="E12" s="1">
        <v>16.45097035070912</v>
      </c>
    </row>
    <row r="13" spans="1:5">
      <c r="A13" t="s">
        <v>200</v>
      </c>
      <c r="B13" s="1">
        <v>1.784606970825182</v>
      </c>
      <c r="C13" s="1">
        <v>1.76916725076573</v>
      </c>
      <c r="D13" s="1">
        <v>1.274954903181521</v>
      </c>
      <c r="E13" s="1">
        <v>1.353446444504242</v>
      </c>
    </row>
    <row r="14" spans="1:5">
      <c r="A14" t="s">
        <v>201</v>
      </c>
      <c r="B14" s="1">
        <v>1.745251467154666</v>
      </c>
      <c r="C14" s="1">
        <v>1.745163179675273</v>
      </c>
      <c r="D14" s="1">
        <v>1.265009657902719</v>
      </c>
      <c r="E14" s="1">
        <v>1.346804231755159</v>
      </c>
    </row>
    <row r="15" spans="1:5">
      <c r="A15" t="s">
        <v>57</v>
      </c>
      <c r="B15" s="1">
        <v>74602000000</v>
      </c>
      <c r="C15" s="1">
        <v>80108000000</v>
      </c>
      <c r="D15" s="1">
        <v>34448000000</v>
      </c>
      <c r="E15" s="1">
        <v>49913000000</v>
      </c>
    </row>
    <row r="16" spans="1:5">
      <c r="A16" t="s">
        <v>202</v>
      </c>
      <c r="B16" s="1">
        <v>0.2689498358295437</v>
      </c>
      <c r="C16" s="1">
        <v>0.2252731152418591</v>
      </c>
      <c r="D16" s="1">
        <v>0.2000184741540625</v>
      </c>
      <c r="E16" s="1">
        <v>0.1499454298420806</v>
      </c>
    </row>
    <row r="17" spans="1:5">
      <c r="A17" t="s">
        <v>203</v>
      </c>
      <c r="B17" s="1">
        <v>21.80095770151636</v>
      </c>
      <c r="C17" s="1">
        <v>13.85451619270303</v>
      </c>
      <c r="D17" s="1">
        <v>6.136357503305718</v>
      </c>
      <c r="E17" s="1">
        <v>3.898054217759106</v>
      </c>
    </row>
    <row r="18" spans="1:5">
      <c r="A18" t="s">
        <v>204</v>
      </c>
      <c r="B18" s="1">
        <v>81.48113683361073</v>
      </c>
      <c r="C18" s="1">
        <v>83.85966071302173</v>
      </c>
      <c r="D18" s="1">
        <v>84.76293437553545</v>
      </c>
      <c r="E18" s="1">
        <v>90.56851741420681</v>
      </c>
    </row>
    <row r="19" spans="1:5">
      <c r="A19" t="s">
        <v>205</v>
      </c>
      <c r="B19" s="1">
        <v>51.1355257336676</v>
      </c>
      <c r="C19" s="1">
        <v>45.22139375017117</v>
      </c>
      <c r="D19" s="1">
        <v>46.94832990269461</v>
      </c>
      <c r="E19" s="1">
        <v>52.18991918222937</v>
      </c>
    </row>
    <row r="20" spans="1:5">
      <c r="A20" t="s">
        <v>206</v>
      </c>
      <c r="B20" s="1">
        <v>0.2273706544801697</v>
      </c>
      <c r="C20" s="1">
        <v>0.5787375969315434</v>
      </c>
      <c r="D20" s="1">
        <v>0.2728410326694177</v>
      </c>
      <c r="E20" s="1">
        <v>0.4991417442397835</v>
      </c>
    </row>
    <row r="21" spans="1:5">
      <c r="A21" t="s">
        <v>207</v>
      </c>
      <c r="B21" s="1">
        <v>0</v>
      </c>
      <c r="C21" s="1">
        <v>6.882029555656421</v>
      </c>
      <c r="D21" s="1">
        <v>15.66996201307127</v>
      </c>
      <c r="E21" s="1">
        <v>14.93215623240671</v>
      </c>
    </row>
    <row r="22" spans="1:5">
      <c r="A22" t="s">
        <v>208</v>
      </c>
      <c r="B22" s="1">
        <v>0.1679366297555093</v>
      </c>
      <c r="C22" s="1">
        <v>0.145554595413325</v>
      </c>
      <c r="D22" s="1">
        <v>0.1310656958819751</v>
      </c>
      <c r="E22" s="1">
        <v>0.0978799779645656</v>
      </c>
    </row>
    <row r="23" spans="1:5">
      <c r="A23" t="s">
        <v>209</v>
      </c>
      <c r="B23" s="1">
        <v>0</v>
      </c>
      <c r="C23" s="1">
        <v>-2.129916761873674</v>
      </c>
      <c r="D23" s="1">
        <v>11.9436337863754</v>
      </c>
      <c r="E23" s="1">
        <v>-9.741236760171024</v>
      </c>
    </row>
    <row r="24" spans="1:5">
      <c r="A24" t="s">
        <v>210</v>
      </c>
      <c r="B24" s="1">
        <v>64658470901.61977</v>
      </c>
      <c r="C24" s="1">
        <v>62097500655.01451</v>
      </c>
      <c r="D24" s="1">
        <v>66521910564.35376</v>
      </c>
      <c r="E24" s="1">
        <v>78748532990.36618</v>
      </c>
    </row>
    <row r="25" spans="1:5">
      <c r="A25" t="s">
        <v>130</v>
      </c>
      <c r="B25" s="1">
        <v>65149000000</v>
      </c>
      <c r="C25" s="1">
        <v>59475000000</v>
      </c>
      <c r="D25" s="1">
        <v>74071000000</v>
      </c>
      <c r="E25" s="1">
        <v>71611000000</v>
      </c>
    </row>
    <row r="26" spans="1:5">
      <c r="A26" t="s">
        <v>211</v>
      </c>
      <c r="B26" s="1">
        <v>0.8882271371422301</v>
      </c>
      <c r="C26" s="1">
        <v>0.8330036142286475</v>
      </c>
      <c r="D26" s="1">
        <v>0.8912780338172605</v>
      </c>
      <c r="E26" s="1">
        <v>0.8501357974588706</v>
      </c>
    </row>
    <row r="27" spans="1:5">
      <c r="A27" t="s">
        <v>212</v>
      </c>
      <c r="B27" s="1">
        <v>0.8956666391707223</v>
      </c>
      <c r="C27" s="1">
        <v>0.8219206478627991</v>
      </c>
      <c r="D27" s="1">
        <v>0.8404170826903876</v>
      </c>
      <c r="E27" s="1">
        <v>0.7032268834943829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236</v>
      </c>
    </row>
    <row r="2" spans="1:25">
      <c r="A2" t="s">
        <v>237</v>
      </c>
      <c r="B2" s="1">
        <v>50000000000</v>
      </c>
      <c r="C2" s="1">
        <v>50000000000</v>
      </c>
      <c r="D2" s="1">
        <v>50000000000</v>
      </c>
      <c r="E2" s="1">
        <v>50000000000</v>
      </c>
      <c r="F2" s="1">
        <v>50000000000</v>
      </c>
      <c r="G2" s="1">
        <v>50000000000</v>
      </c>
      <c r="H2" s="1">
        <v>50000000000</v>
      </c>
      <c r="I2" s="1">
        <v>50000000000</v>
      </c>
      <c r="J2" s="1">
        <v>50000000000</v>
      </c>
      <c r="K2" s="1">
        <v>50000000000</v>
      </c>
      <c r="L2" s="1">
        <v>50000000000</v>
      </c>
      <c r="M2" s="1">
        <v>50000000000</v>
      </c>
      <c r="N2" s="1">
        <v>50000000000</v>
      </c>
      <c r="O2" s="1">
        <v>50000000000</v>
      </c>
      <c r="P2" s="1">
        <v>50000000000</v>
      </c>
      <c r="Q2" s="1">
        <v>50000000000</v>
      </c>
      <c r="R2" s="1">
        <v>50000000000</v>
      </c>
      <c r="S2" s="1">
        <v>50000000000</v>
      </c>
      <c r="T2" s="1">
        <v>50000000000</v>
      </c>
      <c r="U2" s="1">
        <v>50000000000</v>
      </c>
      <c r="V2" s="1">
        <v>50000000000</v>
      </c>
      <c r="W2" s="1">
        <v>50000000000</v>
      </c>
      <c r="X2" s="1">
        <v>50000000000</v>
      </c>
      <c r="Y2" s="1">
        <v>50000000000</v>
      </c>
    </row>
    <row r="3" spans="1:25">
      <c r="A3" t="s">
        <v>238</v>
      </c>
      <c r="B3" s="1">
        <v>5000000000</v>
      </c>
      <c r="C3" s="1">
        <v>5000000000</v>
      </c>
      <c r="D3" s="1">
        <v>5000000000</v>
      </c>
      <c r="E3" s="1">
        <v>5000000000</v>
      </c>
      <c r="F3" s="1">
        <v>5000000000</v>
      </c>
      <c r="G3" s="1">
        <v>5000000000</v>
      </c>
      <c r="H3" s="1">
        <v>5000000000</v>
      </c>
      <c r="I3" s="1">
        <v>5000000000</v>
      </c>
      <c r="J3" s="1">
        <v>5000000000</v>
      </c>
      <c r="K3" s="1">
        <v>5000000000</v>
      </c>
      <c r="L3" s="1">
        <v>5000000000</v>
      </c>
      <c r="M3" s="1">
        <v>5000000000</v>
      </c>
      <c r="N3" s="1">
        <v>5000000000</v>
      </c>
      <c r="O3" s="1">
        <v>5000000000</v>
      </c>
      <c r="P3" s="1">
        <v>5000000000</v>
      </c>
      <c r="Q3" s="1">
        <v>5000000000</v>
      </c>
      <c r="R3" s="1">
        <v>5000000000</v>
      </c>
      <c r="S3" s="1">
        <v>5000000000</v>
      </c>
      <c r="T3" s="1">
        <v>5000000000</v>
      </c>
      <c r="U3" s="1">
        <v>5000000000</v>
      </c>
      <c r="V3" s="1">
        <v>5000000000</v>
      </c>
      <c r="W3" s="1">
        <v>5000000000</v>
      </c>
      <c r="X3" s="1">
        <v>5000000000</v>
      </c>
      <c r="Y3" s="1">
        <v>5000000000</v>
      </c>
    </row>
    <row r="4" spans="1:25">
      <c r="A4" t="s">
        <v>239</v>
      </c>
      <c r="B4" s="1">
        <v>100000000</v>
      </c>
      <c r="C4" s="1">
        <v>100000000</v>
      </c>
      <c r="D4" s="1">
        <v>100000000</v>
      </c>
      <c r="E4" s="1">
        <v>100000000</v>
      </c>
      <c r="F4" s="1">
        <v>100000000</v>
      </c>
      <c r="G4" s="1">
        <v>100000000</v>
      </c>
      <c r="H4" s="1">
        <v>100000000</v>
      </c>
      <c r="I4" s="1">
        <v>100000000</v>
      </c>
      <c r="J4" s="1">
        <v>100000000</v>
      </c>
      <c r="K4" s="1">
        <v>100000000</v>
      </c>
      <c r="L4" s="1">
        <v>100000000</v>
      </c>
      <c r="M4" s="1">
        <v>100000000</v>
      </c>
      <c r="N4" s="1">
        <v>100000000</v>
      </c>
      <c r="O4" s="1">
        <v>100000000</v>
      </c>
      <c r="P4" s="1">
        <v>100000000</v>
      </c>
      <c r="Q4" s="1">
        <v>100000000</v>
      </c>
      <c r="R4" s="1">
        <v>100000000</v>
      </c>
      <c r="S4" s="1">
        <v>100000000</v>
      </c>
      <c r="T4" s="1">
        <v>100000000</v>
      </c>
      <c r="U4" s="1">
        <v>100000000</v>
      </c>
      <c r="V4" s="1">
        <v>100000000</v>
      </c>
      <c r="W4" s="1">
        <v>100000000</v>
      </c>
      <c r="X4" s="1">
        <v>100000000</v>
      </c>
      <c r="Y4" s="1">
        <v>100000000</v>
      </c>
    </row>
    <row r="5" spans="1:25">
      <c r="A5" t="s">
        <v>240</v>
      </c>
      <c r="B5" s="1">
        <v>250000</v>
      </c>
      <c r="C5" s="1">
        <v>250000</v>
      </c>
      <c r="D5" s="1">
        <v>250000</v>
      </c>
      <c r="E5" s="1">
        <v>250000</v>
      </c>
      <c r="F5" s="1">
        <v>250000</v>
      </c>
      <c r="G5" s="1">
        <v>250000</v>
      </c>
      <c r="H5" s="1">
        <v>250000</v>
      </c>
      <c r="I5" s="1">
        <v>250000</v>
      </c>
      <c r="J5" s="1">
        <v>250000</v>
      </c>
      <c r="K5" s="1">
        <v>250000</v>
      </c>
      <c r="L5" s="1">
        <v>250000</v>
      </c>
      <c r="M5" s="1">
        <v>250000</v>
      </c>
      <c r="N5" s="1">
        <v>250000</v>
      </c>
      <c r="O5" s="1">
        <v>250000</v>
      </c>
      <c r="P5" s="1">
        <v>250000</v>
      </c>
      <c r="Q5" s="1">
        <v>250000</v>
      </c>
      <c r="R5" s="1">
        <v>250000</v>
      </c>
      <c r="S5" s="1">
        <v>250000</v>
      </c>
      <c r="T5" s="1">
        <v>250000</v>
      </c>
      <c r="U5" s="1">
        <v>250000</v>
      </c>
      <c r="V5" s="1">
        <v>250000</v>
      </c>
      <c r="W5" s="1">
        <v>250000</v>
      </c>
      <c r="X5" s="1">
        <v>250000</v>
      </c>
      <c r="Y5" s="1">
        <v>250000</v>
      </c>
    </row>
    <row r="6" spans="1:25">
      <c r="A6" t="s">
        <v>241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2</v>
      </c>
      <c r="O6" s="1">
        <v>2</v>
      </c>
      <c r="P6" s="1">
        <v>3</v>
      </c>
      <c r="Q6" s="1">
        <v>3</v>
      </c>
      <c r="R6" s="1">
        <v>5</v>
      </c>
      <c r="S6" s="1">
        <v>5</v>
      </c>
      <c r="T6" s="1">
        <v>8</v>
      </c>
      <c r="U6" s="1">
        <v>10</v>
      </c>
      <c r="V6" s="1">
        <v>12</v>
      </c>
      <c r="W6" s="1">
        <v>15</v>
      </c>
      <c r="X6" s="1">
        <v>20</v>
      </c>
      <c r="Y6" s="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236</v>
      </c>
    </row>
    <row r="2" spans="1:25">
      <c r="A2" t="s">
        <v>242</v>
      </c>
      <c r="B2" s="1">
        <v>2000000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t="s">
        <v>243</v>
      </c>
      <c r="B3" s="1">
        <v>5000000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500000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t="s">
        <v>244</v>
      </c>
      <c r="B4" s="1">
        <v>7000000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500000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t="s">
        <v>245</v>
      </c>
      <c r="B5" s="1">
        <v>105000</v>
      </c>
      <c r="C5" s="1">
        <v>105000</v>
      </c>
      <c r="D5" s="1">
        <v>105000</v>
      </c>
      <c r="E5" s="1">
        <v>105000</v>
      </c>
      <c r="F5" s="1">
        <v>105000</v>
      </c>
      <c r="G5" s="1">
        <v>105000</v>
      </c>
      <c r="H5" s="1">
        <v>105000</v>
      </c>
      <c r="I5" s="1">
        <v>105000</v>
      </c>
      <c r="J5" s="1">
        <v>105000</v>
      </c>
      <c r="K5" s="1">
        <v>105000</v>
      </c>
      <c r="L5" s="1">
        <v>105000</v>
      </c>
      <c r="M5" s="1">
        <v>105000</v>
      </c>
      <c r="N5" s="1">
        <v>112500</v>
      </c>
      <c r="O5" s="1">
        <v>112500</v>
      </c>
      <c r="P5" s="1">
        <v>112500</v>
      </c>
      <c r="Q5" s="1">
        <v>112500</v>
      </c>
      <c r="R5" s="1">
        <v>112500</v>
      </c>
      <c r="S5" s="1">
        <v>112500</v>
      </c>
      <c r="T5" s="1">
        <v>112500</v>
      </c>
      <c r="U5" s="1">
        <v>112500</v>
      </c>
      <c r="V5" s="1">
        <v>112500</v>
      </c>
      <c r="W5" s="1">
        <v>112500</v>
      </c>
      <c r="X5" s="1">
        <v>112500</v>
      </c>
      <c r="Y5" s="1">
        <v>112500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236</v>
      </c>
    </row>
    <row r="2" spans="1:25">
      <c r="A2" t="s">
        <v>246</v>
      </c>
      <c r="B2" s="1">
        <v>200000</v>
      </c>
      <c r="C2" s="1">
        <v>210000</v>
      </c>
      <c r="D2" s="1">
        <v>220000</v>
      </c>
      <c r="E2" s="1">
        <v>230000</v>
      </c>
      <c r="F2" s="1">
        <v>240000</v>
      </c>
      <c r="G2" s="1">
        <v>250000</v>
      </c>
      <c r="H2" s="1">
        <v>260000</v>
      </c>
      <c r="I2" s="1">
        <v>270000</v>
      </c>
      <c r="J2" s="1">
        <v>280000</v>
      </c>
      <c r="K2" s="1">
        <v>290000</v>
      </c>
      <c r="L2" s="1">
        <v>300000</v>
      </c>
      <c r="M2" s="1">
        <v>310000</v>
      </c>
      <c r="N2" s="1">
        <v>320000</v>
      </c>
      <c r="O2" s="1">
        <v>330000</v>
      </c>
      <c r="P2" s="1">
        <v>340000</v>
      </c>
      <c r="Q2" s="1">
        <v>350000</v>
      </c>
      <c r="R2" s="1">
        <v>360000</v>
      </c>
      <c r="S2" s="1">
        <v>370000</v>
      </c>
      <c r="T2" s="1">
        <v>380000</v>
      </c>
      <c r="U2" s="1">
        <v>390000</v>
      </c>
      <c r="V2" s="1">
        <v>400000</v>
      </c>
      <c r="W2" s="1">
        <v>410000</v>
      </c>
      <c r="X2" s="1">
        <v>420000</v>
      </c>
      <c r="Y2" s="1">
        <v>430000</v>
      </c>
    </row>
    <row r="3" spans="1:25">
      <c r="A3" t="s">
        <v>247</v>
      </c>
      <c r="B3" s="1">
        <v>150000</v>
      </c>
      <c r="C3" s="1">
        <v>150000</v>
      </c>
      <c r="D3" s="1">
        <v>150000</v>
      </c>
      <c r="E3" s="1">
        <v>150000</v>
      </c>
      <c r="F3" s="1">
        <v>150000</v>
      </c>
      <c r="G3" s="1">
        <v>150000</v>
      </c>
      <c r="H3" s="1">
        <v>150000</v>
      </c>
      <c r="I3" s="1">
        <v>150000</v>
      </c>
      <c r="J3" s="1">
        <v>150000</v>
      </c>
      <c r="K3" s="1">
        <v>150000</v>
      </c>
      <c r="L3" s="1">
        <v>150000</v>
      </c>
      <c r="M3" s="1">
        <v>150000</v>
      </c>
      <c r="N3" s="1">
        <v>50000</v>
      </c>
      <c r="O3" s="1">
        <v>50000</v>
      </c>
      <c r="P3" s="1">
        <v>50000</v>
      </c>
      <c r="Q3" s="1">
        <v>50000</v>
      </c>
      <c r="R3" s="1">
        <v>50000</v>
      </c>
      <c r="S3" s="1">
        <v>50000</v>
      </c>
      <c r="T3" s="1">
        <v>50000</v>
      </c>
      <c r="U3" s="1">
        <v>50000</v>
      </c>
      <c r="V3" s="1">
        <v>50000</v>
      </c>
      <c r="W3" s="1">
        <v>50000</v>
      </c>
      <c r="X3" s="1">
        <v>50000</v>
      </c>
      <c r="Y3" s="1">
        <v>50000</v>
      </c>
    </row>
    <row r="4" spans="1:25">
      <c r="A4" t="s">
        <v>248</v>
      </c>
      <c r="B4" s="1">
        <v>50000</v>
      </c>
      <c r="C4" s="1">
        <v>50000</v>
      </c>
      <c r="D4" s="1">
        <v>50000</v>
      </c>
      <c r="E4" s="1">
        <v>50000</v>
      </c>
      <c r="F4" s="1">
        <v>50000</v>
      </c>
      <c r="G4" s="1">
        <v>50000</v>
      </c>
      <c r="H4" s="1">
        <v>50000</v>
      </c>
      <c r="I4" s="1">
        <v>50000</v>
      </c>
      <c r="J4" s="1">
        <v>50000</v>
      </c>
      <c r="K4" s="1">
        <v>50000</v>
      </c>
      <c r="L4" s="1">
        <v>50000</v>
      </c>
      <c r="M4" s="1">
        <v>50000</v>
      </c>
      <c r="N4" s="1">
        <v>50000</v>
      </c>
      <c r="O4" s="1">
        <v>50000</v>
      </c>
      <c r="P4" s="1">
        <v>50000</v>
      </c>
      <c r="Q4" s="1">
        <v>50000</v>
      </c>
      <c r="R4" s="1">
        <v>50000</v>
      </c>
      <c r="S4" s="1">
        <v>50000</v>
      </c>
      <c r="T4" s="1">
        <v>50000</v>
      </c>
      <c r="U4" s="1">
        <v>50000</v>
      </c>
      <c r="V4" s="1">
        <v>50000</v>
      </c>
      <c r="W4" s="1">
        <v>50000</v>
      </c>
      <c r="X4" s="1">
        <v>50000</v>
      </c>
      <c r="Y4" s="1">
        <v>50000</v>
      </c>
    </row>
    <row r="5" spans="1:25">
      <c r="A5" t="s">
        <v>249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100000</v>
      </c>
      <c r="N5" s="1">
        <v>200000</v>
      </c>
      <c r="O5" s="1">
        <v>200000</v>
      </c>
      <c r="P5" s="1">
        <v>300000</v>
      </c>
      <c r="Q5" s="1">
        <v>300000</v>
      </c>
      <c r="R5" s="1">
        <v>500000</v>
      </c>
      <c r="S5" s="1">
        <v>500000</v>
      </c>
      <c r="T5" s="1">
        <v>800000</v>
      </c>
      <c r="U5" s="1">
        <v>1000000</v>
      </c>
      <c r="V5" s="1">
        <v>1200000</v>
      </c>
      <c r="W5" s="1">
        <v>1500000</v>
      </c>
      <c r="X5" s="1">
        <v>2000000</v>
      </c>
      <c r="Y5" s="1">
        <v>2500000</v>
      </c>
    </row>
    <row r="6" spans="1:25">
      <c r="A6" t="s">
        <v>250</v>
      </c>
      <c r="B6" s="1">
        <v>100000</v>
      </c>
      <c r="C6" s="1">
        <v>100000</v>
      </c>
      <c r="D6" s="1">
        <v>100000</v>
      </c>
      <c r="E6" s="1">
        <v>100000</v>
      </c>
      <c r="F6" s="1">
        <v>100000</v>
      </c>
      <c r="G6" s="1">
        <v>100000</v>
      </c>
      <c r="H6" s="1">
        <v>100000</v>
      </c>
      <c r="I6" s="1">
        <v>100000</v>
      </c>
      <c r="J6" s="1">
        <v>100000</v>
      </c>
      <c r="K6" s="1">
        <v>100000</v>
      </c>
      <c r="L6" s="1">
        <v>100000</v>
      </c>
      <c r="M6" s="1">
        <v>100000</v>
      </c>
      <c r="N6" s="1">
        <v>100000</v>
      </c>
      <c r="O6" s="1">
        <v>100000</v>
      </c>
      <c r="P6" s="1">
        <v>100000</v>
      </c>
      <c r="Q6" s="1">
        <v>100000</v>
      </c>
      <c r="R6" s="1">
        <v>100000</v>
      </c>
      <c r="S6" s="1">
        <v>100000</v>
      </c>
      <c r="T6" s="1">
        <v>100000</v>
      </c>
      <c r="U6" s="1">
        <v>100000</v>
      </c>
      <c r="V6" s="1">
        <v>100000</v>
      </c>
      <c r="W6" s="1">
        <v>100000</v>
      </c>
      <c r="X6" s="1">
        <v>100000</v>
      </c>
      <c r="Y6" s="1">
        <v>100000</v>
      </c>
    </row>
    <row r="7" spans="1:25">
      <c r="A7" t="s">
        <v>251</v>
      </c>
      <c r="B7" s="1">
        <v>500000</v>
      </c>
      <c r="C7" s="1">
        <v>510000</v>
      </c>
      <c r="D7" s="1">
        <v>520000</v>
      </c>
      <c r="E7" s="1">
        <v>530000</v>
      </c>
      <c r="F7" s="1">
        <v>540000</v>
      </c>
      <c r="G7" s="1">
        <v>550000</v>
      </c>
      <c r="H7" s="1">
        <v>560000</v>
      </c>
      <c r="I7" s="1">
        <v>570000</v>
      </c>
      <c r="J7" s="1">
        <v>580000</v>
      </c>
      <c r="K7" s="1">
        <v>590000</v>
      </c>
      <c r="L7" s="1">
        <v>600000</v>
      </c>
      <c r="M7" s="1">
        <v>710000</v>
      </c>
      <c r="N7" s="1">
        <v>720000</v>
      </c>
      <c r="O7" s="1">
        <v>730000</v>
      </c>
      <c r="P7" s="1">
        <v>840000</v>
      </c>
      <c r="Q7" s="1">
        <v>850000</v>
      </c>
      <c r="R7" s="1">
        <v>1060000</v>
      </c>
      <c r="S7" s="1">
        <v>1070000</v>
      </c>
      <c r="T7" s="1">
        <v>1380000</v>
      </c>
      <c r="U7" s="1">
        <v>1590000</v>
      </c>
      <c r="V7" s="1">
        <v>1800000</v>
      </c>
      <c r="W7" s="1">
        <v>2110000</v>
      </c>
      <c r="X7" s="1">
        <v>2620000</v>
      </c>
      <c r="Y7" s="1">
        <v>3130000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236</v>
      </c>
    </row>
    <row r="2" spans="1:25">
      <c r="A2" t="s">
        <v>252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250000</v>
      </c>
      <c r="N2" s="1">
        <v>750000</v>
      </c>
      <c r="O2" s="1">
        <v>1250000</v>
      </c>
      <c r="P2" s="1">
        <v>2000000</v>
      </c>
      <c r="Q2" s="1">
        <v>2750000</v>
      </c>
      <c r="R2" s="1">
        <v>4000000</v>
      </c>
      <c r="S2" s="1">
        <v>5250000</v>
      </c>
      <c r="T2" s="1">
        <v>7250000</v>
      </c>
      <c r="U2" s="1">
        <v>9750000</v>
      </c>
      <c r="V2" s="1">
        <v>12750000</v>
      </c>
      <c r="W2" s="1">
        <v>16500000</v>
      </c>
      <c r="X2" s="1">
        <v>21500000</v>
      </c>
      <c r="Y2" s="1">
        <v>27750000</v>
      </c>
    </row>
    <row r="3" spans="1:25">
      <c r="A3" t="s">
        <v>8</v>
      </c>
      <c r="B3" s="1">
        <v>-500000</v>
      </c>
      <c r="C3" s="1">
        <v>-510000</v>
      </c>
      <c r="D3" s="1">
        <v>-520000</v>
      </c>
      <c r="E3" s="1">
        <v>-530000</v>
      </c>
      <c r="F3" s="1">
        <v>-540000</v>
      </c>
      <c r="G3" s="1">
        <v>-550000</v>
      </c>
      <c r="H3" s="1">
        <v>-560000</v>
      </c>
      <c r="I3" s="1">
        <v>-570000</v>
      </c>
      <c r="J3" s="1">
        <v>-580000</v>
      </c>
      <c r="K3" s="1">
        <v>-590000</v>
      </c>
      <c r="L3" s="1">
        <v>-600000</v>
      </c>
      <c r="M3" s="1">
        <v>-460000</v>
      </c>
      <c r="N3" s="1">
        <v>30000</v>
      </c>
      <c r="O3" s="1">
        <v>520000</v>
      </c>
      <c r="P3" s="1">
        <v>1160000</v>
      </c>
      <c r="Q3" s="1">
        <v>1900000</v>
      </c>
      <c r="R3" s="1">
        <v>2940000</v>
      </c>
      <c r="S3" s="1">
        <v>4180000</v>
      </c>
      <c r="T3" s="1">
        <v>5870000</v>
      </c>
      <c r="U3" s="1">
        <v>8160000</v>
      </c>
      <c r="V3" s="1">
        <v>10950000</v>
      </c>
      <c r="W3" s="1">
        <v>14390000</v>
      </c>
      <c r="X3" s="1">
        <v>18880000</v>
      </c>
      <c r="Y3" s="1">
        <v>24620000</v>
      </c>
    </row>
    <row r="4" spans="1:25">
      <c r="A4" t="s">
        <v>9</v>
      </c>
      <c r="B4" s="1">
        <v>-605000</v>
      </c>
      <c r="C4" s="1">
        <v>-615000</v>
      </c>
      <c r="D4" s="1">
        <v>-625000</v>
      </c>
      <c r="E4" s="1">
        <v>-635000</v>
      </c>
      <c r="F4" s="1">
        <v>-645000</v>
      </c>
      <c r="G4" s="1">
        <v>-655000</v>
      </c>
      <c r="H4" s="1">
        <v>-665000</v>
      </c>
      <c r="I4" s="1">
        <v>-675000</v>
      </c>
      <c r="J4" s="1">
        <v>-685000</v>
      </c>
      <c r="K4" s="1">
        <v>-695000</v>
      </c>
      <c r="L4" s="1">
        <v>-705000</v>
      </c>
      <c r="M4" s="1">
        <v>-565000</v>
      </c>
      <c r="N4" s="1">
        <v>-82500</v>
      </c>
      <c r="O4" s="1">
        <v>407500</v>
      </c>
      <c r="P4" s="1">
        <v>1047500</v>
      </c>
      <c r="Q4" s="1">
        <v>1787500</v>
      </c>
      <c r="R4" s="1">
        <v>2827500</v>
      </c>
      <c r="S4" s="1">
        <v>4067500</v>
      </c>
      <c r="T4" s="1">
        <v>5757500</v>
      </c>
      <c r="U4" s="1">
        <v>8047500</v>
      </c>
      <c r="V4" s="1">
        <v>10837500</v>
      </c>
      <c r="W4" s="1">
        <v>14277500</v>
      </c>
      <c r="X4" s="1">
        <v>18767500</v>
      </c>
      <c r="Y4" s="1">
        <v>24507500</v>
      </c>
    </row>
    <row r="5" spans="1:25">
      <c r="A5" t="s">
        <v>23</v>
      </c>
      <c r="B5" s="1">
        <v>-605000</v>
      </c>
      <c r="C5" s="1">
        <v>-615000</v>
      </c>
      <c r="D5" s="1">
        <v>-625000</v>
      </c>
      <c r="E5" s="1">
        <v>-635000</v>
      </c>
      <c r="F5" s="1">
        <v>-645000</v>
      </c>
      <c r="G5" s="1">
        <v>-655000</v>
      </c>
      <c r="H5" s="1">
        <v>-665000</v>
      </c>
      <c r="I5" s="1">
        <v>-675000</v>
      </c>
      <c r="J5" s="1">
        <v>-685000</v>
      </c>
      <c r="K5" s="1">
        <v>-695000</v>
      </c>
      <c r="L5" s="1">
        <v>-705000</v>
      </c>
      <c r="M5" s="1">
        <v>-565000</v>
      </c>
      <c r="N5" s="1">
        <v>-82500</v>
      </c>
      <c r="O5" s="1">
        <v>407500</v>
      </c>
      <c r="P5" s="1">
        <v>1047500</v>
      </c>
      <c r="Q5" s="1">
        <v>1787500</v>
      </c>
      <c r="R5" s="1">
        <v>2827500</v>
      </c>
      <c r="S5" s="1">
        <v>4067500</v>
      </c>
      <c r="T5" s="1">
        <v>5757500</v>
      </c>
      <c r="U5" s="1">
        <v>8047500</v>
      </c>
      <c r="V5" s="1">
        <v>10837500</v>
      </c>
      <c r="W5" s="1">
        <v>14277500</v>
      </c>
      <c r="X5" s="1">
        <v>18767500</v>
      </c>
      <c r="Y5" s="1">
        <v>24507500</v>
      </c>
    </row>
    <row r="6" spans="1:25">
      <c r="A6" t="s">
        <v>253</v>
      </c>
      <c r="B6" s="1">
        <v>-500000</v>
      </c>
      <c r="C6" s="1">
        <v>-510000</v>
      </c>
      <c r="D6" s="1">
        <v>-520000</v>
      </c>
      <c r="E6" s="1">
        <v>-530000</v>
      </c>
      <c r="F6" s="1">
        <v>-540000</v>
      </c>
      <c r="G6" s="1">
        <v>-550000</v>
      </c>
      <c r="H6" s="1">
        <v>-560000</v>
      </c>
      <c r="I6" s="1">
        <v>-570000</v>
      </c>
      <c r="J6" s="1">
        <v>-580000</v>
      </c>
      <c r="K6" s="1">
        <v>-590000</v>
      </c>
      <c r="L6" s="1">
        <v>-600000</v>
      </c>
      <c r="M6" s="1">
        <v>-460000</v>
      </c>
      <c r="N6" s="1">
        <v>30000</v>
      </c>
      <c r="O6" s="1">
        <v>520000</v>
      </c>
      <c r="P6" s="1">
        <v>1160000</v>
      </c>
      <c r="Q6" s="1">
        <v>1900000</v>
      </c>
      <c r="R6" s="1">
        <v>2940000</v>
      </c>
      <c r="S6" s="1">
        <v>4180000</v>
      </c>
      <c r="T6" s="1">
        <v>5870000</v>
      </c>
      <c r="U6" s="1">
        <v>8160000</v>
      </c>
      <c r="V6" s="1">
        <v>10950000</v>
      </c>
      <c r="W6" s="1">
        <v>14390000</v>
      </c>
      <c r="X6" s="1">
        <v>18880000</v>
      </c>
      <c r="Y6" s="1">
        <v>24620000</v>
      </c>
    </row>
    <row r="7" spans="1:25">
      <c r="A7" t="s">
        <v>130</v>
      </c>
      <c r="B7" s="1">
        <v>-7500000</v>
      </c>
      <c r="C7" s="1">
        <v>-510000</v>
      </c>
      <c r="D7" s="1">
        <v>-520000</v>
      </c>
      <c r="E7" s="1">
        <v>-530000</v>
      </c>
      <c r="F7" s="1">
        <v>-540000</v>
      </c>
      <c r="G7" s="1">
        <v>-550000</v>
      </c>
      <c r="H7" s="1">
        <v>-560000</v>
      </c>
      <c r="I7" s="1">
        <v>-570000</v>
      </c>
      <c r="J7" s="1">
        <v>-580000</v>
      </c>
      <c r="K7" s="1">
        <v>-590000</v>
      </c>
      <c r="L7" s="1">
        <v>-600000</v>
      </c>
      <c r="M7" s="1">
        <v>-460000</v>
      </c>
      <c r="N7" s="1">
        <v>-470000</v>
      </c>
      <c r="O7" s="1">
        <v>520000</v>
      </c>
      <c r="P7" s="1">
        <v>1160000</v>
      </c>
      <c r="Q7" s="1">
        <v>1900000</v>
      </c>
      <c r="R7" s="1">
        <v>2940000</v>
      </c>
      <c r="S7" s="1">
        <v>4180000</v>
      </c>
      <c r="T7" s="1">
        <v>5870000</v>
      </c>
      <c r="U7" s="1">
        <v>8160000</v>
      </c>
      <c r="V7" s="1">
        <v>10950000</v>
      </c>
      <c r="W7" s="1">
        <v>14390000</v>
      </c>
      <c r="X7" s="1">
        <v>18880000</v>
      </c>
      <c r="Y7" s="1">
        <v>24620000</v>
      </c>
    </row>
    <row r="8" spans="1:25">
      <c r="A8" t="s">
        <v>254</v>
      </c>
      <c r="B8" s="1">
        <v>17500000</v>
      </c>
      <c r="C8" s="1">
        <v>16990000</v>
      </c>
      <c r="D8" s="1">
        <v>16470000</v>
      </c>
      <c r="E8" s="1">
        <v>15940000</v>
      </c>
      <c r="F8" s="1">
        <v>15400000</v>
      </c>
      <c r="G8" s="1">
        <v>14850000</v>
      </c>
      <c r="H8" s="1">
        <v>14290000</v>
      </c>
      <c r="I8" s="1">
        <v>13720000</v>
      </c>
      <c r="J8" s="1">
        <v>13140000</v>
      </c>
      <c r="K8" s="1">
        <v>12550000</v>
      </c>
      <c r="L8" s="1">
        <v>11950000</v>
      </c>
      <c r="M8" s="1">
        <v>11490000</v>
      </c>
      <c r="N8" s="1">
        <v>11020000</v>
      </c>
      <c r="O8" s="1">
        <v>11540000</v>
      </c>
      <c r="P8" s="1">
        <v>12700000</v>
      </c>
      <c r="Q8" s="1">
        <v>14600000</v>
      </c>
      <c r="R8" s="1">
        <v>17540000</v>
      </c>
      <c r="S8" s="1">
        <v>21720000</v>
      </c>
      <c r="T8" s="1">
        <v>27590000</v>
      </c>
      <c r="U8" s="1">
        <v>35750000</v>
      </c>
      <c r="V8" s="1">
        <v>46700000</v>
      </c>
      <c r="W8" s="1">
        <v>61090000</v>
      </c>
      <c r="X8" s="1">
        <v>79970000</v>
      </c>
      <c r="Y8" s="1">
        <v>104590000</v>
      </c>
    </row>
    <row r="9" spans="1:25">
      <c r="A9" t="s">
        <v>255</v>
      </c>
      <c r="B9" s="1">
        <v>7500000</v>
      </c>
      <c r="C9" s="1">
        <v>510000</v>
      </c>
      <c r="D9" s="1">
        <v>520000</v>
      </c>
      <c r="E9" s="1">
        <v>530000</v>
      </c>
      <c r="F9" s="1">
        <v>540000</v>
      </c>
      <c r="G9" s="1">
        <v>550000</v>
      </c>
      <c r="H9" s="1">
        <v>560000</v>
      </c>
      <c r="I9" s="1">
        <v>570000</v>
      </c>
      <c r="J9" s="1">
        <v>580000</v>
      </c>
      <c r="K9" s="1">
        <v>590000</v>
      </c>
      <c r="L9" s="1">
        <v>600000</v>
      </c>
      <c r="M9" s="1">
        <v>460000</v>
      </c>
      <c r="N9" s="1">
        <v>470000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t="s">
        <v>256</v>
      </c>
      <c r="B10" s="1">
        <v>2.333333333333333</v>
      </c>
      <c r="C10" s="1">
        <v>33.31372549019608</v>
      </c>
      <c r="D10" s="1">
        <v>31.67307692307692</v>
      </c>
      <c r="E10" s="1">
        <v>30.07547169811321</v>
      </c>
      <c r="F10" s="1">
        <v>28.51851851851852</v>
      </c>
      <c r="G10" s="1">
        <v>27</v>
      </c>
      <c r="H10" s="1">
        <v>25.51785714285714</v>
      </c>
      <c r="I10" s="1">
        <v>24.07017543859649</v>
      </c>
      <c r="J10" s="1">
        <v>22.6551724137931</v>
      </c>
      <c r="K10" s="1">
        <v>21.27118644067797</v>
      </c>
      <c r="L10" s="1">
        <v>19.91666666666667</v>
      </c>
      <c r="M10" s="1">
        <v>24.97826086956522</v>
      </c>
      <c r="N10" s="1">
        <v>23.4468085106383</v>
      </c>
      <c r="O10" s="1">
        <v>999</v>
      </c>
      <c r="P10" s="1">
        <v>999</v>
      </c>
      <c r="Q10" s="1">
        <v>999</v>
      </c>
      <c r="R10" s="1">
        <v>999</v>
      </c>
      <c r="S10" s="1">
        <v>999</v>
      </c>
      <c r="T10" s="1">
        <v>999</v>
      </c>
      <c r="U10" s="1">
        <v>999</v>
      </c>
      <c r="V10" s="1">
        <v>999</v>
      </c>
      <c r="W10" s="1">
        <v>999</v>
      </c>
      <c r="X10" s="1">
        <v>999</v>
      </c>
      <c r="Y10" s="1">
        <v>999</v>
      </c>
    </row>
    <row r="11" spans="1:25">
      <c r="A11" t="s">
        <v>257</v>
      </c>
      <c r="B11" s="1">
        <v>-7500000</v>
      </c>
      <c r="C11" s="1">
        <v>-503703.7037037037</v>
      </c>
      <c r="D11" s="1">
        <v>-507239.750038104</v>
      </c>
      <c r="E11" s="1">
        <v>-510611.7141884048</v>
      </c>
      <c r="F11" s="1">
        <v>-513823.1086172627</v>
      </c>
      <c r="G11" s="1">
        <v>-516877.384068577</v>
      </c>
      <c r="H11" s="1">
        <v>-519777.9305560551</v>
      </c>
      <c r="I11" s="1">
        <v>-522528.078336775</v>
      </c>
      <c r="J11" s="1">
        <v>-525131.0988699666</v>
      </c>
      <c r="K11" s="1">
        <v>-527590.2057612266</v>
      </c>
      <c r="L11" s="1">
        <v>-529908.5556923808</v>
      </c>
      <c r="M11" s="1">
        <v>-401247.6306477287</v>
      </c>
      <c r="N11" s="1">
        <v>-404909.042199533</v>
      </c>
      <c r="O11" s="1">
        <v>442453.7997242073</v>
      </c>
      <c r="P11" s="1">
        <v>974826.9851473514</v>
      </c>
      <c r="Q11" s="1">
        <v>1576987.034295418</v>
      </c>
      <c r="R11" s="1">
        <v>2410054.25904017</v>
      </c>
      <c r="S11" s="1">
        <v>3384236.769224124</v>
      </c>
      <c r="T11" s="1">
        <v>4693831.847207895</v>
      </c>
      <c r="U11" s="1">
        <v>6444430.626237856</v>
      </c>
      <c r="V11" s="1">
        <v>8541093.604127878</v>
      </c>
      <c r="W11" s="1">
        <v>11085751.12133944</v>
      </c>
      <c r="X11" s="1">
        <v>14365187.15300499</v>
      </c>
      <c r="Y11" s="1">
        <v>18501302.97692942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4" width="18.7109375" style="1" customWidth="1"/>
  </cols>
  <sheetData>
    <row r="1" spans="1:4">
      <c r="B1" s="2" t="s">
        <v>258</v>
      </c>
      <c r="C1" s="2" t="s">
        <v>259</v>
      </c>
      <c r="D1" s="2" t="s">
        <v>260</v>
      </c>
    </row>
    <row r="2" spans="1:4">
      <c r="A2" t="s">
        <v>261</v>
      </c>
      <c r="B2" s="1">
        <v>104406000</v>
      </c>
      <c r="C2" s="1">
        <v>79590000</v>
      </c>
      <c r="D2" s="1">
        <v>52308000</v>
      </c>
    </row>
    <row r="3" spans="1:4">
      <c r="A3" t="s">
        <v>262</v>
      </c>
      <c r="B3" s="1">
        <v>76617850.36567874</v>
      </c>
      <c r="C3" s="1">
        <v>58936807.97359903</v>
      </c>
      <c r="D3" s="1">
        <v>41255765.58151932</v>
      </c>
    </row>
    <row r="4" spans="1:4">
      <c r="A4" t="s">
        <v>263</v>
      </c>
      <c r="B4" s="1" t="s">
        <v>264</v>
      </c>
      <c r="C4" s="1" t="s">
        <v>264</v>
      </c>
      <c r="D4" s="1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3" t="s">
        <v>265</v>
      </c>
    </row>
    <row r="3" spans="1:2">
      <c r="A3" s="4" t="s">
        <v>266</v>
      </c>
      <c r="B3" s="4" t="s">
        <v>267</v>
      </c>
    </row>
    <row r="4" spans="1:2">
      <c r="A4" t="s">
        <v>268</v>
      </c>
      <c r="B4" t="s">
        <v>269</v>
      </c>
    </row>
    <row r="5" spans="1:2">
      <c r="A5" t="s">
        <v>270</v>
      </c>
      <c r="B5" t="s">
        <v>271</v>
      </c>
    </row>
    <row r="6" spans="1:2">
      <c r="A6" t="s">
        <v>272</v>
      </c>
      <c r="B6" t="s">
        <v>273</v>
      </c>
    </row>
    <row r="7" spans="1:2">
      <c r="A7" t="s">
        <v>274</v>
      </c>
      <c r="B7" t="s">
        <v>275</v>
      </c>
    </row>
    <row r="9" spans="1:2">
      <c r="A9" s="4" t="s">
        <v>276</v>
      </c>
    </row>
    <row r="10" spans="1:2">
      <c r="A10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Income Statement</vt:lpstr>
      <vt:lpstr>Raw Balance Sheet</vt:lpstr>
      <vt:lpstr>Cash Flow Statement</vt:lpstr>
      <vt:lpstr>Ratio Analysis</vt:lpstr>
      <vt:lpstr>Assumptions &amp; Drivers</vt:lpstr>
      <vt:lpstr>CapEx &amp; Depreciation</vt:lpstr>
      <vt:lpstr>OpEx &amp; R&amp;D Budget</vt:lpstr>
      <vt:lpstr>Valuation &amp; Returns</vt:lpstr>
      <vt:lpstr>Sensitivity Analysis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2026-02-28T09:25:02Z</dcterms:created>
  <dcterms:modified xsi:type="dcterms:W3CDTF">2026-02-28T09:25:02Z</dcterms:modified>
</cp:coreProperties>
</file>